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835" windowHeight="10050" activeTab="1"/>
  </bookViews>
  <sheets>
    <sheet name="consomen" sheetId="1" r:id="rId1"/>
    <sheet name="dicovar" sheetId="2" r:id="rId2"/>
  </sheets>
  <calcPr calcId="145621"/>
</workbook>
</file>

<file path=xl/calcChain.xml><?xml version="1.0" encoding="utf-8"?>
<calcChain xmlns="http://schemas.openxmlformats.org/spreadsheetml/2006/main">
  <c r="A12" i="2" l="1"/>
  <c r="A11" i="2"/>
  <c r="A10" i="2"/>
  <c r="A9" i="2"/>
  <c r="A8" i="2"/>
  <c r="A7" i="2"/>
  <c r="A6" i="2"/>
  <c r="A5" i="2"/>
  <c r="A4" i="2"/>
  <c r="A3" i="2"/>
  <c r="A2" i="2"/>
  <c r="A1" i="2"/>
  <c r="BD59" i="1"/>
  <c r="BC59" i="1"/>
  <c r="BD58" i="1"/>
  <c r="BC58" i="1"/>
  <c r="BD57" i="1"/>
  <c r="BC57" i="1"/>
  <c r="BD56" i="1"/>
  <c r="BC56" i="1"/>
  <c r="BD55" i="1"/>
  <c r="BC55" i="1"/>
  <c r="BD54" i="1"/>
  <c r="BC54" i="1"/>
  <c r="BD53" i="1"/>
  <c r="BC53" i="1"/>
  <c r="BD52" i="1"/>
  <c r="BC52" i="1"/>
  <c r="BD51" i="1"/>
  <c r="BC51" i="1"/>
  <c r="BD50" i="1"/>
  <c r="BC50" i="1"/>
  <c r="BD49" i="1"/>
  <c r="BC49" i="1"/>
  <c r="BD48" i="1"/>
  <c r="BC48" i="1"/>
  <c r="BD47" i="1"/>
  <c r="BC47" i="1"/>
  <c r="BD46" i="1"/>
  <c r="BC46" i="1"/>
  <c r="BD45" i="1"/>
  <c r="BC45" i="1"/>
  <c r="BD44" i="1"/>
  <c r="BC44" i="1"/>
  <c r="BD43" i="1"/>
  <c r="BC43" i="1"/>
  <c r="BD42" i="1"/>
  <c r="BC42" i="1"/>
  <c r="BD41" i="1"/>
  <c r="BC41" i="1"/>
  <c r="BD40" i="1"/>
  <c r="BC40" i="1"/>
  <c r="BD39" i="1"/>
  <c r="BC39" i="1"/>
  <c r="BD38" i="1"/>
  <c r="BC38" i="1"/>
  <c r="BD37" i="1"/>
  <c r="BC37" i="1"/>
  <c r="BD36" i="1"/>
  <c r="BC36" i="1"/>
  <c r="BD35" i="1"/>
  <c r="BC35" i="1"/>
  <c r="BD34" i="1"/>
  <c r="BC34" i="1"/>
  <c r="BD33" i="1"/>
  <c r="BC33" i="1"/>
  <c r="BD32" i="1"/>
  <c r="BC32" i="1"/>
  <c r="BD31" i="1"/>
  <c r="BC31" i="1"/>
  <c r="BD30" i="1"/>
  <c r="BC30" i="1"/>
  <c r="BD29" i="1"/>
  <c r="BC29" i="1"/>
  <c r="BD28" i="1"/>
  <c r="BC28" i="1"/>
  <c r="BD27" i="1"/>
  <c r="BC27" i="1"/>
  <c r="BD26" i="1"/>
  <c r="BC26" i="1"/>
  <c r="BD25" i="1"/>
  <c r="BC25" i="1"/>
  <c r="BD24" i="1"/>
  <c r="BC24" i="1"/>
  <c r="BD23" i="1"/>
  <c r="BC23" i="1"/>
  <c r="BD22" i="1"/>
  <c r="BC22" i="1"/>
  <c r="BD21" i="1"/>
  <c r="BC21" i="1"/>
  <c r="BD20" i="1"/>
  <c r="BC20" i="1"/>
  <c r="BD19" i="1"/>
  <c r="BC19" i="1"/>
  <c r="BD18" i="1"/>
  <c r="BC18" i="1"/>
  <c r="BD17" i="1"/>
  <c r="BC17" i="1"/>
  <c r="BD16" i="1"/>
  <c r="BC16" i="1"/>
  <c r="BD15" i="1"/>
  <c r="BC15" i="1"/>
  <c r="BD14" i="1"/>
  <c r="BC14" i="1"/>
  <c r="BD13" i="1"/>
  <c r="BC13" i="1"/>
  <c r="BD12" i="1"/>
  <c r="BC12" i="1"/>
  <c r="BD11" i="1"/>
  <c r="BC11" i="1"/>
  <c r="BD10" i="1"/>
  <c r="BC10" i="1"/>
  <c r="BD9" i="1"/>
  <c r="BC9" i="1"/>
  <c r="BD8" i="1"/>
  <c r="BC8" i="1"/>
  <c r="BD7" i="1"/>
  <c r="BC7" i="1"/>
  <c r="BD6" i="1"/>
  <c r="BC6" i="1"/>
  <c r="BD5" i="1"/>
  <c r="BC5" i="1"/>
  <c r="BD4" i="1"/>
  <c r="BC4" i="1"/>
  <c r="BD3" i="1"/>
  <c r="BC3" i="1"/>
  <c r="BD2" i="1"/>
  <c r="BC2" i="1"/>
  <c r="BA59" i="1"/>
  <c r="AZ59" i="1"/>
  <c r="BA58" i="1"/>
  <c r="AZ58" i="1"/>
  <c r="BA57" i="1"/>
  <c r="AZ57" i="1"/>
  <c r="BA56" i="1"/>
  <c r="AZ56" i="1"/>
  <c r="BA55" i="1"/>
  <c r="AZ55" i="1"/>
  <c r="BA54" i="1"/>
  <c r="AZ54" i="1"/>
  <c r="BA53" i="1"/>
  <c r="AZ53" i="1"/>
  <c r="BA52" i="1"/>
  <c r="AZ52" i="1"/>
  <c r="BA51" i="1"/>
  <c r="AZ51" i="1"/>
  <c r="BA50" i="1"/>
  <c r="AZ50" i="1"/>
  <c r="BA49" i="1"/>
  <c r="AZ49" i="1"/>
  <c r="BA48" i="1"/>
  <c r="AZ48" i="1"/>
  <c r="BA47" i="1"/>
  <c r="AZ47" i="1"/>
  <c r="BA46" i="1"/>
  <c r="AZ46" i="1"/>
  <c r="BA45" i="1"/>
  <c r="AZ45" i="1"/>
  <c r="BA44" i="1"/>
  <c r="AZ44" i="1"/>
  <c r="BA43" i="1"/>
  <c r="AZ43" i="1"/>
  <c r="BA42" i="1"/>
  <c r="AZ42" i="1"/>
  <c r="BA41" i="1"/>
  <c r="AZ41" i="1"/>
  <c r="BA40" i="1"/>
  <c r="AZ40" i="1"/>
  <c r="BA39" i="1"/>
  <c r="AZ39" i="1"/>
  <c r="BA38" i="1"/>
  <c r="AZ38" i="1"/>
  <c r="BA37" i="1"/>
  <c r="AZ37" i="1"/>
  <c r="BA36" i="1"/>
  <c r="AZ36" i="1"/>
  <c r="BA35" i="1"/>
  <c r="AZ35" i="1"/>
  <c r="BA34" i="1"/>
  <c r="AZ34" i="1"/>
  <c r="BA33" i="1"/>
  <c r="AZ33" i="1"/>
  <c r="BA32" i="1"/>
  <c r="AZ32" i="1"/>
  <c r="BA31" i="1"/>
  <c r="AZ31" i="1"/>
  <c r="BA30" i="1"/>
  <c r="AZ30" i="1"/>
  <c r="BA29" i="1"/>
  <c r="AZ29" i="1"/>
  <c r="BA28" i="1"/>
  <c r="AZ28" i="1"/>
  <c r="BA27" i="1"/>
  <c r="AZ27" i="1"/>
  <c r="BA26" i="1"/>
  <c r="AZ26" i="1"/>
  <c r="BA25" i="1"/>
  <c r="AZ25" i="1"/>
  <c r="BA24" i="1"/>
  <c r="AZ24" i="1"/>
  <c r="BA23" i="1"/>
  <c r="AZ23" i="1"/>
  <c r="BA22" i="1"/>
  <c r="AZ22" i="1"/>
  <c r="BA21" i="1"/>
  <c r="AZ21" i="1"/>
  <c r="BA20" i="1"/>
  <c r="AZ20" i="1"/>
  <c r="BA19" i="1"/>
  <c r="AZ19" i="1"/>
  <c r="BA18" i="1"/>
  <c r="AZ18" i="1"/>
  <c r="BA17" i="1"/>
  <c r="AZ17" i="1"/>
  <c r="BA16" i="1"/>
  <c r="AZ16" i="1"/>
  <c r="BA15" i="1"/>
  <c r="AZ15" i="1"/>
  <c r="BA14" i="1"/>
  <c r="AZ14" i="1"/>
  <c r="BA13" i="1"/>
  <c r="AZ13" i="1"/>
  <c r="BA12" i="1"/>
  <c r="AZ12" i="1"/>
  <c r="BA11" i="1"/>
  <c r="AZ11" i="1"/>
  <c r="BA10" i="1"/>
  <c r="AZ10" i="1"/>
  <c r="BA9" i="1"/>
  <c r="AZ9" i="1"/>
  <c r="BA8" i="1"/>
  <c r="AZ8" i="1"/>
  <c r="BA7" i="1"/>
  <c r="AZ7" i="1"/>
  <c r="BA6" i="1"/>
  <c r="AZ6" i="1"/>
  <c r="BA5" i="1"/>
  <c r="AZ5" i="1"/>
  <c r="BA4" i="1"/>
  <c r="AZ4" i="1"/>
  <c r="BA3" i="1"/>
  <c r="AZ3" i="1"/>
  <c r="BA2" i="1"/>
  <c r="AZ2" i="1"/>
  <c r="AX59" i="1"/>
  <c r="AW59" i="1"/>
  <c r="AX58" i="1"/>
  <c r="AW58" i="1"/>
  <c r="AX57" i="1"/>
  <c r="AW57" i="1"/>
  <c r="AX56" i="1"/>
  <c r="AW56" i="1"/>
  <c r="AX55" i="1"/>
  <c r="AW55" i="1"/>
  <c r="AX54" i="1"/>
  <c r="AW54" i="1"/>
  <c r="AX53" i="1"/>
  <c r="AW53" i="1"/>
  <c r="AX52" i="1"/>
  <c r="AW52" i="1"/>
  <c r="AX51" i="1"/>
  <c r="AW51" i="1"/>
  <c r="AX50" i="1"/>
  <c r="AW50" i="1"/>
  <c r="AX49" i="1"/>
  <c r="AW49" i="1"/>
  <c r="AX48" i="1"/>
  <c r="AW48" i="1"/>
  <c r="AX47" i="1"/>
  <c r="AW47" i="1"/>
  <c r="AX46" i="1"/>
  <c r="AW46" i="1"/>
  <c r="AX45" i="1"/>
  <c r="AW45" i="1"/>
  <c r="AX44" i="1"/>
  <c r="AW44" i="1"/>
  <c r="AX43" i="1"/>
  <c r="AW43" i="1"/>
  <c r="AX42" i="1"/>
  <c r="AW42" i="1"/>
  <c r="AX41" i="1"/>
  <c r="AW41" i="1"/>
  <c r="AX40" i="1"/>
  <c r="AW40" i="1"/>
  <c r="AX39" i="1"/>
  <c r="AW39" i="1"/>
  <c r="AX38" i="1"/>
  <c r="AW38" i="1"/>
  <c r="AX37" i="1"/>
  <c r="AW37" i="1"/>
  <c r="AX36" i="1"/>
  <c r="AW36" i="1"/>
  <c r="AX35" i="1"/>
  <c r="AW35" i="1"/>
  <c r="AX34" i="1"/>
  <c r="AW34" i="1"/>
  <c r="AX33" i="1"/>
  <c r="AW33" i="1"/>
  <c r="AX32" i="1"/>
  <c r="AW32" i="1"/>
  <c r="AX31" i="1"/>
  <c r="AW31" i="1"/>
  <c r="AX30" i="1"/>
  <c r="AW30" i="1"/>
  <c r="AX29" i="1"/>
  <c r="AW29" i="1"/>
  <c r="AX28" i="1"/>
  <c r="AW28" i="1"/>
  <c r="AX27" i="1"/>
  <c r="AW27" i="1"/>
  <c r="AX26" i="1"/>
  <c r="AW26" i="1"/>
  <c r="AX25" i="1"/>
  <c r="AW25" i="1"/>
  <c r="AX24" i="1"/>
  <c r="AW24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X17" i="1"/>
  <c r="AW17" i="1"/>
  <c r="AX16" i="1"/>
  <c r="AW16" i="1"/>
  <c r="AX15" i="1"/>
  <c r="AW15" i="1"/>
  <c r="AX14" i="1"/>
  <c r="AW14" i="1"/>
  <c r="AX13" i="1"/>
  <c r="AW13" i="1"/>
  <c r="AX12" i="1"/>
  <c r="AW12" i="1"/>
  <c r="AX11" i="1"/>
  <c r="AW11" i="1"/>
  <c r="AX10" i="1"/>
  <c r="AW10" i="1"/>
  <c r="AX9" i="1"/>
  <c r="AW9" i="1"/>
  <c r="AX8" i="1"/>
  <c r="AW8" i="1"/>
  <c r="AX7" i="1"/>
  <c r="AW7" i="1"/>
  <c r="AX6" i="1"/>
  <c r="AW6" i="1"/>
  <c r="AX5" i="1"/>
  <c r="AW5" i="1"/>
  <c r="AX4" i="1"/>
  <c r="AW4" i="1"/>
  <c r="AX3" i="1"/>
  <c r="AW3" i="1"/>
  <c r="AW2" i="1"/>
  <c r="L1" i="1"/>
  <c r="K1" i="1"/>
  <c r="J1" i="1"/>
  <c r="I1" i="1"/>
  <c r="H1" i="1"/>
  <c r="G1" i="1"/>
  <c r="F1" i="1"/>
  <c r="E1" i="1"/>
  <c r="D1" i="1"/>
  <c r="C1" i="1"/>
  <c r="B1" i="1"/>
  <c r="A1" i="1"/>
  <c r="AF2" i="1"/>
  <c r="L2" i="1" s="1"/>
  <c r="M2" i="1" l="1"/>
  <c r="Q2" i="1"/>
  <c r="N2" i="1"/>
  <c r="R2" i="1"/>
  <c r="O2" i="1"/>
  <c r="S2" i="1"/>
  <c r="P2" i="1"/>
  <c r="A2" i="1"/>
  <c r="E2" i="1"/>
  <c r="I2" i="1"/>
  <c r="B2" i="1"/>
  <c r="F2" i="1"/>
  <c r="J2" i="1"/>
  <c r="C2" i="1"/>
  <c r="G2" i="1"/>
  <c r="K2" i="1"/>
  <c r="D2" i="1"/>
  <c r="H2" i="1"/>
  <c r="BL2" i="1" l="1"/>
  <c r="AH2" i="1"/>
  <c r="AX2" i="1" s="1"/>
</calcChain>
</file>

<file path=xl/comments1.xml><?xml version="1.0" encoding="utf-8"?>
<comments xmlns="http://schemas.openxmlformats.org/spreadsheetml/2006/main">
  <authors>
    <author>Zardoz</author>
  </authors>
  <commentList>
    <comment ref="AF1" authorId="0">
      <text>
        <r>
          <rPr>
            <b/>
            <sz val="9"/>
            <color indexed="81"/>
            <rFont val="Tahoma"/>
            <family val="2"/>
          </rPr>
          <t>dépense de consommation des ménages hors solde territorial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" authorId="0">
      <text>
        <r>
          <rPr>
            <b/>
            <sz val="9"/>
            <color indexed="81"/>
            <rFont val="Tahoma"/>
            <family val="2"/>
          </rPr>
          <t>dépense insee avec solde territorial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Zardoz</author>
  </authors>
  <commentList>
    <comment ref="A32" authorId="0">
      <text>
        <r>
          <rPr>
            <b/>
            <sz val="9"/>
            <color indexed="81"/>
            <rFont val="Tahoma"/>
            <family val="2"/>
          </rPr>
          <t>dépense de consommation des ménages hors solde territorial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>
      <text>
        <r>
          <rPr>
            <b/>
            <sz val="9"/>
            <color indexed="81"/>
            <rFont val="Tahoma"/>
            <family val="2"/>
          </rPr>
          <t>dépense insee avec solde territorial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<sst xmlns="http://schemas.openxmlformats.org/spreadsheetml/2006/main" count="140" uniqueCount="69">
  <si>
    <t>alimentation</t>
  </si>
  <si>
    <t>vice</t>
  </si>
  <si>
    <t>habillement</t>
  </si>
  <si>
    <t>logement</t>
  </si>
  <si>
    <t>meubles</t>
  </si>
  <si>
    <t>DEPCONS</t>
  </si>
  <si>
    <t>Année</t>
  </si>
  <si>
    <t>deptot</t>
  </si>
  <si>
    <t>santé</t>
  </si>
  <si>
    <t>transports</t>
  </si>
  <si>
    <t>communications</t>
  </si>
  <si>
    <t>loisirs</t>
  </si>
  <si>
    <t>éducation</t>
  </si>
  <si>
    <t>restauration</t>
  </si>
  <si>
    <t>divers</t>
  </si>
  <si>
    <t>ipalim10</t>
  </si>
  <si>
    <t>ipvice10</t>
  </si>
  <si>
    <t>iphab10</t>
  </si>
  <si>
    <t>iplog10</t>
  </si>
  <si>
    <t>ipmeub10</t>
  </si>
  <si>
    <t>ipsant10</t>
  </si>
  <si>
    <t>iptrans10</t>
  </si>
  <si>
    <t>ipcomm10</t>
  </si>
  <si>
    <t>iplois10</t>
  </si>
  <si>
    <t>ipeduc10</t>
  </si>
  <si>
    <t>iprestau10</t>
  </si>
  <si>
    <t>ipdiv10</t>
  </si>
  <si>
    <t>ipc2010</t>
  </si>
  <si>
    <t>IPSTONE10</t>
  </si>
  <si>
    <t>DEPRELOG</t>
  </si>
  <si>
    <t>DEPRECOM</t>
  </si>
  <si>
    <t>DEPPRETV</t>
  </si>
  <si>
    <t>DEPPRECANT</t>
  </si>
  <si>
    <t>DEPREASSU</t>
  </si>
  <si>
    <t>DEPREFIN</t>
  </si>
  <si>
    <t>DEPRENG</t>
  </si>
  <si>
    <t>DEPLIBR</t>
  </si>
  <si>
    <t>RDBMEN</t>
  </si>
  <si>
    <t>wprlog</t>
  </si>
  <si>
    <t>wprtv</t>
  </si>
  <si>
    <t>wprecant</t>
  </si>
  <si>
    <t>wprassu</t>
  </si>
  <si>
    <t>wprcom</t>
  </si>
  <si>
    <t>wprfin</t>
  </si>
  <si>
    <t>wdepr</t>
  </si>
  <si>
    <t>RDB2010</t>
  </si>
  <si>
    <t>RDBST10</t>
  </si>
  <si>
    <t>iplogpr10</t>
  </si>
  <si>
    <t>ipcommpr10</t>
  </si>
  <si>
    <t>iptvpr10</t>
  </si>
  <si>
    <t>ipcantpr10</t>
  </si>
  <si>
    <t>ipassupr10</t>
  </si>
  <si>
    <t>ipfinpr10</t>
  </si>
  <si>
    <t>ipdepr10</t>
  </si>
  <si>
    <t>ipdeplibr10</t>
  </si>
  <si>
    <t>ipdepcons10</t>
  </si>
  <si>
    <t>ipdeprst10</t>
  </si>
  <si>
    <t>DEPRENG10</t>
  </si>
  <si>
    <t>DEPRENGST10</t>
  </si>
  <si>
    <t>DEPLIBR10</t>
  </si>
  <si>
    <t>DEPLIBRST10</t>
  </si>
  <si>
    <t>PETROCHOC</t>
  </si>
  <si>
    <t>NUKELEC</t>
  </si>
  <si>
    <t>EURO</t>
  </si>
  <si>
    <t>GISCARD</t>
  </si>
  <si>
    <t>MITERR</t>
  </si>
  <si>
    <t>CHIRAC</t>
  </si>
  <si>
    <t>SARKO</t>
  </si>
  <si>
    <t>HOLLANDE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</si>
</sst>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3" x14ac:knownFonts="1">
    <font>
      <sz val="10"/>
      <color theme="1"/>
      <name val="DejaVu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59"/>
  <sheetViews>
    <sheetView topLeftCell="BN1" workbookViewId="0">
      <pane ySplit="1" topLeftCell="A2" activePane="bottomLeft" state="frozen"/>
      <selection pane="bottomLeft" activeCell="BN1" sqref="A1:XFD1"/>
    </sheetView>
  </sheetViews>
  <sheetFormatPr baseColWidth="10" defaultRowHeight="12.75" x14ac:dyDescent="0.2"/>
  <cols>
    <col min="1" max="1" width="9.625" customWidth="1"/>
    <col min="2" max="12" width="8" customWidth="1"/>
    <col min="13" max="19" width="7.25" customWidth="1"/>
    <col min="21" max="21" width="5.875" customWidth="1"/>
    <col min="22" max="22" width="10.25" customWidth="1"/>
    <col min="23" max="23" width="8.25" customWidth="1"/>
    <col min="24" max="24" width="7.375" customWidth="1"/>
    <col min="25" max="25" width="5.875" customWidth="1"/>
    <col min="26" max="26" width="9.625" customWidth="1"/>
    <col min="27" max="27" width="14.375" bestFit="1" customWidth="1"/>
    <col min="28" max="28" width="6.875" customWidth="1"/>
    <col min="29" max="29" width="9.125" customWidth="1"/>
    <col min="30" max="30" width="11.25" bestFit="1" customWidth="1"/>
    <col min="31" max="31" width="6.875" customWidth="1"/>
    <col min="32" max="32" width="10" customWidth="1"/>
    <col min="33" max="33" width="9.875" customWidth="1"/>
    <col min="34" max="34" width="10.625" customWidth="1"/>
    <col min="35" max="35" width="7.875" customWidth="1"/>
    <col min="36" max="36" width="7.5" customWidth="1"/>
    <col min="37" max="37" width="7.375" customWidth="1"/>
    <col min="38" max="38" width="6.875" customWidth="1"/>
    <col min="39" max="39" width="8.75" customWidth="1"/>
    <col min="40" max="40" width="7.75" customWidth="1"/>
    <col min="41" max="41" width="8.5" customWidth="1"/>
    <col min="42" max="42" width="9.25" customWidth="1"/>
    <col min="43" max="43" width="7.125" customWidth="1"/>
    <col min="44" max="44" width="8.125" customWidth="1"/>
    <col min="45" max="45" width="9.375" customWidth="1"/>
    <col min="46" max="46" width="6.75" customWidth="1"/>
    <col min="47" max="47" width="7.25" customWidth="1"/>
    <col min="48" max="48" width="9.125" bestFit="1" customWidth="1"/>
    <col min="49" max="50" width="9.125" customWidth="1"/>
    <col min="51" max="51" width="10" bestFit="1" customWidth="1"/>
    <col min="52" max="53" width="12.125" customWidth="1"/>
    <col min="54" max="54" width="8.875" bestFit="1" customWidth="1"/>
    <col min="55" max="55" width="10.75" customWidth="1"/>
    <col min="56" max="56" width="13.125" customWidth="1"/>
    <col min="57" max="57" width="9.875" bestFit="1" customWidth="1"/>
    <col min="59" max="59" width="11.375" bestFit="1" customWidth="1"/>
    <col min="60" max="60" width="10.5" bestFit="1" customWidth="1"/>
    <col min="61" max="61" width="13.25" bestFit="1" customWidth="1"/>
    <col min="62" max="62" width="11.875" bestFit="1" customWidth="1"/>
    <col min="63" max="63" width="10.375" bestFit="1" customWidth="1"/>
    <col min="64" max="64" width="9.625" customWidth="1"/>
    <col min="65" max="65" width="8.625" customWidth="1"/>
    <col min="67" max="67" width="7.625" customWidth="1"/>
    <col min="68" max="69" width="9.625" customWidth="1"/>
    <col min="70" max="70" width="8.25" customWidth="1"/>
    <col min="71" max="71" width="8" customWidth="1"/>
    <col min="72" max="72" width="10" customWidth="1"/>
    <col min="73" max="73" width="10.875" customWidth="1"/>
    <col min="74" max="74" width="8" customWidth="1"/>
    <col min="75" max="75" width="12.25" bestFit="1" customWidth="1"/>
    <col min="76" max="76" width="9.75" bestFit="1" customWidth="1"/>
    <col min="77" max="77" width="6.125" bestFit="1" customWidth="1"/>
    <col min="78" max="78" width="9" bestFit="1" customWidth="1"/>
    <col min="79" max="79" width="8" bestFit="1" customWidth="1"/>
    <col min="80" max="80" width="7.75" bestFit="1" customWidth="1"/>
    <col min="81" max="81" width="6.875" bestFit="1" customWidth="1"/>
    <col min="82" max="82" width="11.125" bestFit="1" customWidth="1"/>
  </cols>
  <sheetData>
    <row r="1" spans="1:82" x14ac:dyDescent="0.2">
      <c r="A1" t="str">
        <f>CONCATENATE("w",T1)</f>
        <v>walimentation</v>
      </c>
      <c r="B1" t="str">
        <f t="shared" ref="B1:L1" si="0">CONCATENATE("w",U1)</f>
        <v>wvice</v>
      </c>
      <c r="C1" t="str">
        <f t="shared" si="0"/>
        <v>whabillement</v>
      </c>
      <c r="D1" t="str">
        <f t="shared" si="0"/>
        <v>wlogement</v>
      </c>
      <c r="E1" t="str">
        <f t="shared" si="0"/>
        <v>wmeubles</v>
      </c>
      <c r="F1" t="str">
        <f t="shared" si="0"/>
        <v>wsanté</v>
      </c>
      <c r="G1" t="str">
        <f t="shared" si="0"/>
        <v>wtransports</v>
      </c>
      <c r="H1" t="str">
        <f t="shared" si="0"/>
        <v>wcommunications</v>
      </c>
      <c r="I1" t="str">
        <f t="shared" si="0"/>
        <v>wloisirs</v>
      </c>
      <c r="J1" t="str">
        <f t="shared" si="0"/>
        <v>wéducation</v>
      </c>
      <c r="K1" t="str">
        <f t="shared" si="0"/>
        <v>wrestauration</v>
      </c>
      <c r="L1" t="str">
        <f t="shared" si="0"/>
        <v>wdivers</v>
      </c>
      <c r="M1" t="s">
        <v>38</v>
      </c>
      <c r="N1" t="s">
        <v>42</v>
      </c>
      <c r="O1" t="s">
        <v>39</v>
      </c>
      <c r="P1" t="s">
        <v>40</v>
      </c>
      <c r="Q1" t="s">
        <v>41</v>
      </c>
      <c r="R1" t="s">
        <v>43</v>
      </c>
      <c r="S1" t="s">
        <v>44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7</v>
      </c>
      <c r="AG1" t="s">
        <v>5</v>
      </c>
      <c r="AH1" t="s">
        <v>28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37</v>
      </c>
      <c r="AW1" t="s">
        <v>45</v>
      </c>
      <c r="AX1" t="s">
        <v>46</v>
      </c>
      <c r="AY1" t="s">
        <v>35</v>
      </c>
      <c r="AZ1" t="s">
        <v>57</v>
      </c>
      <c r="BA1" t="s">
        <v>58</v>
      </c>
      <c r="BB1" t="s">
        <v>36</v>
      </c>
      <c r="BC1" t="s">
        <v>59</v>
      </c>
      <c r="BD1" t="s">
        <v>60</v>
      </c>
      <c r="BE1" t="s">
        <v>5</v>
      </c>
      <c r="BF1" t="s">
        <v>29</v>
      </c>
      <c r="BG1" t="s">
        <v>30</v>
      </c>
      <c r="BH1" t="s">
        <v>31</v>
      </c>
      <c r="BI1" t="s">
        <v>32</v>
      </c>
      <c r="BJ1" t="s">
        <v>33</v>
      </c>
      <c r="BK1" t="s">
        <v>34</v>
      </c>
      <c r="BL1" t="s">
        <v>56</v>
      </c>
      <c r="BM1" t="s">
        <v>47</v>
      </c>
      <c r="BN1" t="s">
        <v>48</v>
      </c>
      <c r="BO1" t="s">
        <v>49</v>
      </c>
      <c r="BP1" t="s">
        <v>50</v>
      </c>
      <c r="BQ1" t="s">
        <v>51</v>
      </c>
      <c r="BR1" t="s">
        <v>52</v>
      </c>
      <c r="BS1" t="s">
        <v>53</v>
      </c>
      <c r="BT1" t="s">
        <v>54</v>
      </c>
      <c r="BU1" t="s">
        <v>55</v>
      </c>
      <c r="BV1" t="s">
        <v>6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</row>
    <row r="2" spans="1:82" x14ac:dyDescent="0.2">
      <c r="A2" s="3">
        <f>T2/$AF2</f>
        <v>0.25951469710675928</v>
      </c>
      <c r="B2" s="3">
        <f>U2/$AF2</f>
        <v>7.2128115466859655E-2</v>
      </c>
      <c r="C2" s="3">
        <f>V2/$AF2</f>
        <v>0.11790957368415492</v>
      </c>
      <c r="D2" s="3">
        <f>W2/$AF2</f>
        <v>0.11116910955470741</v>
      </c>
      <c r="E2" s="3">
        <f>X2/$AF2</f>
        <v>8.6025788922796567E-2</v>
      </c>
      <c r="F2" s="3">
        <f>Y2/$AF2</f>
        <v>2.466543554425173E-2</v>
      </c>
      <c r="G2" s="3">
        <f>Z2/$AF2</f>
        <v>0.10391726703686648</v>
      </c>
      <c r="H2" s="3">
        <f>AA2/$AF2</f>
        <v>6.0233650435264647E-3</v>
      </c>
      <c r="I2" s="3">
        <f>AB2/$AF2</f>
        <v>7.1127116806884022E-2</v>
      </c>
      <c r="J2" s="3">
        <f>AC2/$AF2</f>
        <v>6.0964071669482771E-3</v>
      </c>
      <c r="K2" s="3">
        <f>AD2/$AF2</f>
        <v>6.8535938081995693E-2</v>
      </c>
      <c r="L2" s="3">
        <f>AE2/$AF2</f>
        <v>7.2887185584249489E-2</v>
      </c>
      <c r="M2" s="3">
        <f>BF2/$AF2</f>
        <v>0.11116910955470741</v>
      </c>
      <c r="N2" s="3">
        <f>BG2/$AF2</f>
        <v>4.108567239701405E-3</v>
      </c>
      <c r="O2" s="3">
        <f>BH2/$AF2</f>
        <v>1.4320682986033834E-3</v>
      </c>
      <c r="P2" s="3">
        <f>BI2/$AF2</f>
        <v>9.0397249339707973E-3</v>
      </c>
      <c r="Q2" s="3">
        <f>BJ2/$AF2</f>
        <v>8.7930772604835391E-3</v>
      </c>
      <c r="R2" s="3">
        <f>BK2/$AF2</f>
        <v>1.3380824216675429E-2</v>
      </c>
      <c r="S2" s="3">
        <f>AY2/$AF2</f>
        <v>0.14792337150414195</v>
      </c>
      <c r="T2" s="1">
        <v>6214.1019999999999</v>
      </c>
      <c r="U2" s="1">
        <v>1727.114</v>
      </c>
      <c r="V2" s="1">
        <v>2823.355</v>
      </c>
      <c r="W2" s="1">
        <v>2661.9540000000002</v>
      </c>
      <c r="X2" s="1">
        <v>2059.895</v>
      </c>
      <c r="Y2" s="1">
        <v>590.61599999999999</v>
      </c>
      <c r="Z2" s="1">
        <v>2488.308</v>
      </c>
      <c r="AA2" s="1">
        <v>144.22999999999999</v>
      </c>
      <c r="AB2" s="1">
        <v>1703.145</v>
      </c>
      <c r="AC2" s="1">
        <v>145.97900000000001</v>
      </c>
      <c r="AD2" s="1">
        <v>1641.0989999999999</v>
      </c>
      <c r="AE2" s="1">
        <v>1745.29</v>
      </c>
      <c r="AF2" s="4">
        <f>SUM(T2:AE2)</f>
        <v>23945.087</v>
      </c>
      <c r="AG2" s="1">
        <v>24131.774000000001</v>
      </c>
      <c r="AH2" s="3">
        <f>A2*LN(AI2)+B2*LN(AJ2)+C2*LN(AK2)+D2*LN(AL2)+E2*LN(AM2)+F2*LN(AN2)+G2*LN(AO2)+H2*LN(AP2)+I2*LN(AQ2)+J2*LN(AR2)+K2*LN(AS2)+L2*LN(AT2)</f>
        <v>-2.2383553473490436</v>
      </c>
      <c r="AI2" s="2">
        <v>0.12539</v>
      </c>
      <c r="AJ2" s="2">
        <v>7.868E-2</v>
      </c>
      <c r="AK2" s="2">
        <v>0.13608000000000001</v>
      </c>
      <c r="AL2" s="2">
        <v>5.7519999999999995E-2</v>
      </c>
      <c r="AM2" s="2">
        <v>0.16847000000000001</v>
      </c>
      <c r="AN2" s="2">
        <v>0.17648</v>
      </c>
      <c r="AO2" s="2">
        <v>9.6869999999999998E-2</v>
      </c>
      <c r="AP2" s="2">
        <v>0.49826999999999999</v>
      </c>
      <c r="AQ2" s="2">
        <v>0.21536999999999998</v>
      </c>
      <c r="AR2" s="2">
        <v>4.7419999999999997E-2</v>
      </c>
      <c r="AS2" s="2">
        <v>4.7809999999999998E-2</v>
      </c>
      <c r="AT2" s="2">
        <v>7.9490000000000005E-2</v>
      </c>
      <c r="AU2" s="2">
        <v>0.10557</v>
      </c>
      <c r="AV2" s="1">
        <v>28689.9</v>
      </c>
      <c r="AW2" s="1">
        <f>AV2/AU2</f>
        <v>271761.86416595627</v>
      </c>
      <c r="AX2" s="1">
        <f>AV2/EXP(AH2)</f>
        <v>269050.8759921153</v>
      </c>
      <c r="AY2" s="1">
        <v>3542.038</v>
      </c>
      <c r="AZ2" s="1">
        <f>AY2/BS2</f>
        <v>53537.454655380898</v>
      </c>
      <c r="BA2" s="1">
        <f>AY2/EXP(BL2)</f>
        <v>5318.7189268916954</v>
      </c>
      <c r="BB2" s="1">
        <v>20589.736000000001</v>
      </c>
      <c r="BC2" s="1">
        <f>BB2/BT2</f>
        <v>170346.123934806</v>
      </c>
      <c r="BD2" s="1">
        <f>BB2/EXP(AH2-BL2)</f>
        <v>128588.55913542028</v>
      </c>
      <c r="BE2" s="1">
        <v>24131.774000000001</v>
      </c>
      <c r="BF2" s="1">
        <v>2661.9540000000002</v>
      </c>
      <c r="BG2" s="1">
        <v>98.38</v>
      </c>
      <c r="BH2" s="1">
        <v>34.290999999999997</v>
      </c>
      <c r="BI2" s="1">
        <v>216.45699999999999</v>
      </c>
      <c r="BJ2" s="1">
        <v>210.55099999999999</v>
      </c>
      <c r="BK2" s="1">
        <v>320.40499999999997</v>
      </c>
      <c r="BL2" s="3">
        <f>M2*LN(BM2)+N2*LN(BN2)+O2*LN(BO2)+P2*LN(BP2)+Q2*LN(BQ2)+R2*LN(BR2)</f>
        <v>-0.40653020343483109</v>
      </c>
      <c r="BM2" s="2">
        <v>5.7519999999999995E-2</v>
      </c>
      <c r="BN2" s="2">
        <v>0.50558999999999998</v>
      </c>
      <c r="BO2" s="2">
        <v>0.16417000000000001</v>
      </c>
      <c r="BP2" s="2">
        <v>7.0099999999999996E-2</v>
      </c>
      <c r="BQ2" s="2">
        <v>1.6109999999999999E-2</v>
      </c>
      <c r="BR2" s="2">
        <v>0.17454999999999998</v>
      </c>
      <c r="BS2" s="2">
        <v>6.6159999999999997E-2</v>
      </c>
      <c r="BT2" s="2">
        <v>0.12086999999999999</v>
      </c>
      <c r="BU2" s="2">
        <v>0.10557</v>
      </c>
      <c r="BV2">
        <v>1959</v>
      </c>
      <c r="BW2" s="1">
        <v>0</v>
      </c>
      <c r="BX2" s="1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2">
      <c r="A3" s="2">
        <v>0.25117550728688931</v>
      </c>
      <c r="B3" s="2">
        <v>6.9491577399563548E-2</v>
      </c>
      <c r="C3" s="2">
        <v>0.11966855263551256</v>
      </c>
      <c r="D3" s="2">
        <v>0.11681972056882334</v>
      </c>
      <c r="E3" s="2">
        <v>8.5676077916258184E-2</v>
      </c>
      <c r="F3" s="2">
        <v>2.4142453314874305E-2</v>
      </c>
      <c r="G3" s="2">
        <v>0.10600276515619651</v>
      </c>
      <c r="H3" s="2">
        <v>6.0590653020051698E-3</v>
      </c>
      <c r="I3" s="2">
        <v>7.3807819178756021E-2</v>
      </c>
      <c r="J3" s="2">
        <v>6.141701002538631E-3</v>
      </c>
      <c r="K3" s="2">
        <v>6.6813217582226581E-2</v>
      </c>
      <c r="L3" s="2">
        <v>7.4201542656355993E-2</v>
      </c>
      <c r="M3" s="2">
        <v>0.11681972056882334</v>
      </c>
      <c r="N3" s="2">
        <v>4.1343661884146368E-3</v>
      </c>
      <c r="O3" s="2">
        <v>1.6907765151573525E-3</v>
      </c>
      <c r="P3" s="2">
        <v>8.8936046671102692E-3</v>
      </c>
      <c r="Q3" s="2">
        <v>9.6756966748164606E-3</v>
      </c>
      <c r="R3" s="2">
        <v>1.2888434022269801E-2</v>
      </c>
      <c r="S3" s="2">
        <v>0.15410259863659187</v>
      </c>
      <c r="T3" s="1">
        <v>6519.8389999999999</v>
      </c>
      <c r="U3" s="1">
        <v>1803.8140000000001</v>
      </c>
      <c r="V3" s="1">
        <v>3106.2730000000001</v>
      </c>
      <c r="W3" s="1">
        <v>3032.3249999999998</v>
      </c>
      <c r="X3" s="1">
        <v>2223.92</v>
      </c>
      <c r="Y3" s="1">
        <v>626.673</v>
      </c>
      <c r="Z3" s="1">
        <v>2751.5459999999998</v>
      </c>
      <c r="AA3" s="1">
        <v>157.27699999999999</v>
      </c>
      <c r="AB3" s="1">
        <v>1915.8520000000001</v>
      </c>
      <c r="AC3" s="1">
        <v>159.422</v>
      </c>
      <c r="AD3" s="1">
        <v>1734.2909999999999</v>
      </c>
      <c r="AE3" s="1">
        <v>1926.0719999999999</v>
      </c>
      <c r="AF3" s="1">
        <v>25957.303999999996</v>
      </c>
      <c r="AG3" s="1">
        <v>26160.784</v>
      </c>
      <c r="AH3" s="2">
        <v>-2.2078249965707522</v>
      </c>
      <c r="AI3" s="2">
        <v>0.12743000000000002</v>
      </c>
      <c r="AJ3" s="2">
        <v>8.0360000000000001E-2</v>
      </c>
      <c r="AK3" s="2">
        <v>0.14193</v>
      </c>
      <c r="AL3" s="2">
        <v>6.1289999999999997E-2</v>
      </c>
      <c r="AM3" s="2">
        <v>0.17082</v>
      </c>
      <c r="AN3" s="2">
        <v>0.18933</v>
      </c>
      <c r="AO3" s="2">
        <v>9.937E-2</v>
      </c>
      <c r="AP3" s="2">
        <v>0.49822000000000005</v>
      </c>
      <c r="AQ3" s="2">
        <v>0.22225</v>
      </c>
      <c r="AR3" s="2">
        <v>4.9880000000000008E-2</v>
      </c>
      <c r="AS3" s="2">
        <v>4.9070000000000003E-2</v>
      </c>
      <c r="AT3" s="2">
        <v>8.3819999999999992E-2</v>
      </c>
      <c r="AU3" s="2">
        <v>0.10896</v>
      </c>
      <c r="AV3" s="1">
        <v>31911.7</v>
      </c>
      <c r="AW3" s="1">
        <f>AV3/AU3</f>
        <v>292875.36710719531</v>
      </c>
      <c r="AX3" s="1">
        <f>AV3/EXP(AH3)</f>
        <v>290265.99022567325</v>
      </c>
      <c r="AY3" s="1">
        <v>4000.0880000000002</v>
      </c>
      <c r="AZ3" s="1">
        <f t="shared" ref="AZ3:AZ59" si="1">AY3/BS3</f>
        <v>56738.836879432631</v>
      </c>
      <c r="BA3" s="1">
        <f t="shared" ref="BA3:BA59" si="2">AY3/EXP(BL3)</f>
        <v>6061.8515743375428</v>
      </c>
      <c r="BB3" s="1">
        <v>22160.696</v>
      </c>
      <c r="BC3" s="1">
        <f t="shared" ref="BC3:BC59" si="3">BB3/BT3</f>
        <v>178643.25675130996</v>
      </c>
      <c r="BD3" s="1">
        <f t="shared" ref="BD3:BD59" si="4">BB3/EXP(AH3-BL3)</f>
        <v>133012.92886968778</v>
      </c>
      <c r="BE3" s="1">
        <v>26160.784</v>
      </c>
      <c r="BF3" s="1">
        <v>3032.3249999999998</v>
      </c>
      <c r="BG3" s="1">
        <v>107.31699999999999</v>
      </c>
      <c r="BH3" s="1">
        <v>43.887999999999998</v>
      </c>
      <c r="BI3" s="1">
        <v>230.85400000000001</v>
      </c>
      <c r="BJ3" s="1">
        <v>251.155</v>
      </c>
      <c r="BK3" s="1">
        <v>334.54899999999998</v>
      </c>
      <c r="BL3" s="2">
        <v>-0.41569893285511766</v>
      </c>
      <c r="BM3" s="2">
        <v>6.1289999999999997E-2</v>
      </c>
      <c r="BN3" s="2">
        <v>0.50551000000000001</v>
      </c>
      <c r="BO3" s="2">
        <v>0.18057999999999999</v>
      </c>
      <c r="BP3" s="2">
        <v>7.1919999999999998E-2</v>
      </c>
      <c r="BQ3" s="2">
        <v>1.8630000000000001E-2</v>
      </c>
      <c r="BR3" s="2">
        <v>0.18340000000000001</v>
      </c>
      <c r="BS3" s="2">
        <v>7.0499999999999993E-2</v>
      </c>
      <c r="BT3" s="2">
        <v>0.12404999999999999</v>
      </c>
      <c r="BU3" s="2">
        <v>0.10896</v>
      </c>
      <c r="BV3">
        <v>1960</v>
      </c>
      <c r="BW3" s="1">
        <v>0</v>
      </c>
      <c r="BX3" s="1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x14ac:dyDescent="0.2">
      <c r="A4" s="2">
        <v>0.24373492417909795</v>
      </c>
      <c r="B4" s="2">
        <v>6.6912977396723666E-2</v>
      </c>
      <c r="C4" s="2">
        <v>0.12093490610773262</v>
      </c>
      <c r="D4" s="2">
        <v>0.12127211806795045</v>
      </c>
      <c r="E4" s="2">
        <v>8.5167424907502676E-2</v>
      </c>
      <c r="F4" s="2">
        <v>2.4432825320103907E-2</v>
      </c>
      <c r="G4" s="2">
        <v>0.10857351952495782</v>
      </c>
      <c r="H4" s="2">
        <v>6.0722191431613424E-3</v>
      </c>
      <c r="I4" s="2">
        <v>7.653364628752575E-2</v>
      </c>
      <c r="J4" s="2">
        <v>6.1747720204641948E-3</v>
      </c>
      <c r="K4" s="2">
        <v>6.5025771138601363E-2</v>
      </c>
      <c r="L4" s="2">
        <v>7.5164895906178225E-2</v>
      </c>
      <c r="M4" s="2">
        <v>0.12127211806795045</v>
      </c>
      <c r="N4" s="2">
        <v>4.1463036810932864E-3</v>
      </c>
      <c r="O4" s="2">
        <v>1.9136133588962552E-3</v>
      </c>
      <c r="P4" s="2">
        <v>9.1320491493060308E-3</v>
      </c>
      <c r="Q4" s="2">
        <v>9.3069299090499866E-3</v>
      </c>
      <c r="R4" s="2">
        <v>1.2714294329798034E-2</v>
      </c>
      <c r="S4" s="2">
        <v>0.15848530849609402</v>
      </c>
      <c r="T4" s="1">
        <v>6894.7359999999999</v>
      </c>
      <c r="U4" s="1">
        <v>1892.8240000000001</v>
      </c>
      <c r="V4" s="1">
        <v>3420.9879999999998</v>
      </c>
      <c r="W4" s="1">
        <v>3430.527</v>
      </c>
      <c r="X4" s="1">
        <v>2409.203</v>
      </c>
      <c r="Y4" s="1">
        <v>691.15200000000004</v>
      </c>
      <c r="Z4" s="1">
        <v>3071.3110000000001</v>
      </c>
      <c r="AA4" s="1">
        <v>171.77</v>
      </c>
      <c r="AB4" s="1">
        <v>2164.9720000000002</v>
      </c>
      <c r="AC4" s="1">
        <v>174.67099999999999</v>
      </c>
      <c r="AD4" s="1">
        <v>1839.4390000000001</v>
      </c>
      <c r="AE4" s="1">
        <v>2126.2530000000002</v>
      </c>
      <c r="AF4" s="1">
        <v>28287.846000000001</v>
      </c>
      <c r="AG4" s="1">
        <v>28509.200000000001</v>
      </c>
      <c r="AH4" s="2">
        <v>-2.1780191752995144</v>
      </c>
      <c r="AI4" s="2">
        <v>0.1305</v>
      </c>
      <c r="AJ4" s="2">
        <v>8.1769999999999995E-2</v>
      </c>
      <c r="AK4" s="2">
        <v>0.14571999999999999</v>
      </c>
      <c r="AL4" s="2">
        <v>6.4939999999999998E-2</v>
      </c>
      <c r="AM4" s="2">
        <v>0.17077999999999999</v>
      </c>
      <c r="AN4" s="2">
        <v>0.19265999999999997</v>
      </c>
      <c r="AO4" s="2">
        <v>0.10160999999999999</v>
      </c>
      <c r="AP4" s="2">
        <v>0.49831999999999999</v>
      </c>
      <c r="AQ4" s="2">
        <v>0.22955999999999999</v>
      </c>
      <c r="AR4" s="2">
        <v>5.2389999999999999E-2</v>
      </c>
      <c r="AS4" s="2">
        <v>5.1449999999999996E-2</v>
      </c>
      <c r="AT4" s="2">
        <v>8.8109999999999994E-2</v>
      </c>
      <c r="AU4" s="2">
        <v>0.11221</v>
      </c>
      <c r="AV4" s="1">
        <v>34435.5</v>
      </c>
      <c r="AW4" s="1">
        <f>AV4/AU4</f>
        <v>306884.41315390787</v>
      </c>
      <c r="AX4" s="1">
        <f>AV4/EXP(AH4)</f>
        <v>304024.16376033705</v>
      </c>
      <c r="AY4" s="1">
        <v>4483.2079999999996</v>
      </c>
      <c r="AZ4" s="1">
        <f t="shared" si="1"/>
        <v>60266.272348433929</v>
      </c>
      <c r="BA4" s="1">
        <f t="shared" si="2"/>
        <v>6815.5328353388568</v>
      </c>
      <c r="BB4" s="1">
        <v>24025.991999999998</v>
      </c>
      <c r="BC4" s="1">
        <f t="shared" si="3"/>
        <v>188898.43541158896</v>
      </c>
      <c r="BD4" s="1">
        <f t="shared" si="4"/>
        <v>139531.45133703688</v>
      </c>
      <c r="BE4" s="1">
        <v>28509.200000000001</v>
      </c>
      <c r="BF4" s="1">
        <v>3430.527</v>
      </c>
      <c r="BG4" s="1">
        <v>117.29</v>
      </c>
      <c r="BH4" s="1">
        <v>54.131999999999998</v>
      </c>
      <c r="BI4" s="1">
        <v>258.32600000000002</v>
      </c>
      <c r="BJ4" s="1">
        <v>263.27300000000002</v>
      </c>
      <c r="BK4" s="1">
        <v>359.66</v>
      </c>
      <c r="BL4" s="2">
        <v>-0.41886538616318941</v>
      </c>
      <c r="BM4" s="2">
        <v>6.4939999999999998E-2</v>
      </c>
      <c r="BN4" s="2">
        <v>0.50566</v>
      </c>
      <c r="BO4" s="2">
        <v>0.19707</v>
      </c>
      <c r="BP4" s="2">
        <v>7.603E-2</v>
      </c>
      <c r="BQ4" s="2">
        <v>1.9099999999999999E-2</v>
      </c>
      <c r="BR4" s="2">
        <v>0.19219</v>
      </c>
      <c r="BS4" s="2">
        <v>7.4389999999999998E-2</v>
      </c>
      <c r="BT4" s="2">
        <v>0.12719</v>
      </c>
      <c r="BU4" s="2">
        <v>0.11221</v>
      </c>
      <c r="BV4">
        <v>1961</v>
      </c>
      <c r="BW4" s="1">
        <v>0</v>
      </c>
      <c r="BX4" s="1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">
      <c r="A5" s="2">
        <v>0.24059861233116081</v>
      </c>
      <c r="B5" s="2">
        <v>6.4802639417798902E-2</v>
      </c>
      <c r="C5" s="2">
        <v>0.12264070891169153</v>
      </c>
      <c r="D5" s="2">
        <v>0.12703509443720784</v>
      </c>
      <c r="E5" s="2">
        <v>8.3843243023105238E-2</v>
      </c>
      <c r="F5" s="2">
        <v>2.3806719914141E-2</v>
      </c>
      <c r="G5" s="2">
        <v>0.10966341799662419</v>
      </c>
      <c r="H5" s="2">
        <v>5.9484490444819856E-3</v>
      </c>
      <c r="I5" s="2">
        <v>7.814188951075525E-2</v>
      </c>
      <c r="J5" s="2">
        <v>6.1466865494670814E-3</v>
      </c>
      <c r="K5" s="2">
        <v>6.2312582183929849E-2</v>
      </c>
      <c r="L5" s="2">
        <v>7.5059956679636206E-2</v>
      </c>
      <c r="M5" s="2">
        <v>0.12703509443720784</v>
      </c>
      <c r="N5" s="2">
        <v>4.0631596227681168E-3</v>
      </c>
      <c r="O5" s="2">
        <v>2.0734085868833784E-3</v>
      </c>
      <c r="P5" s="2">
        <v>8.9165269116948196E-3</v>
      </c>
      <c r="Q5" s="2">
        <v>9.3429786854177244E-3</v>
      </c>
      <c r="R5" s="2">
        <v>1.2107933244930775E-2</v>
      </c>
      <c r="S5" s="2">
        <v>0.16353913301021047</v>
      </c>
      <c r="T5" s="1">
        <v>7632.8879999999999</v>
      </c>
      <c r="U5" s="1">
        <v>2055.8359999999998</v>
      </c>
      <c r="V5" s="1">
        <v>3890.7240000000002</v>
      </c>
      <c r="W5" s="1">
        <v>4030.134</v>
      </c>
      <c r="X5" s="1">
        <v>2659.8910000000001</v>
      </c>
      <c r="Y5" s="1">
        <v>755.25800000000004</v>
      </c>
      <c r="Z5" s="1">
        <v>3479.0250000000001</v>
      </c>
      <c r="AA5" s="1">
        <v>188.71199999999999</v>
      </c>
      <c r="AB5" s="1">
        <v>2479.018</v>
      </c>
      <c r="AC5" s="1">
        <v>195.001</v>
      </c>
      <c r="AD5" s="1">
        <v>1976.84</v>
      </c>
      <c r="AE5" s="1">
        <v>2381.2449999999999</v>
      </c>
      <c r="AF5" s="1">
        <v>31724.572000000004</v>
      </c>
      <c r="AG5" s="1">
        <v>31918.286</v>
      </c>
      <c r="AH5" s="2">
        <v>-2.1364061518895716</v>
      </c>
      <c r="AI5" s="2">
        <v>0.13814000000000001</v>
      </c>
      <c r="AJ5" s="2">
        <v>8.5630000000000012E-2</v>
      </c>
      <c r="AK5" s="2">
        <v>0.14951999999999999</v>
      </c>
      <c r="AL5" s="2">
        <v>6.9180000000000005E-2</v>
      </c>
      <c r="AM5" s="2">
        <v>0.17310999999999999</v>
      </c>
      <c r="AN5" s="2">
        <v>0.20219000000000001</v>
      </c>
      <c r="AO5" s="2">
        <v>0.1032</v>
      </c>
      <c r="AP5" s="2">
        <v>0.49972</v>
      </c>
      <c r="AQ5" s="2">
        <v>0.23662</v>
      </c>
      <c r="AR5" s="2">
        <v>5.5190000000000003E-2</v>
      </c>
      <c r="AS5" s="2">
        <v>5.4440000000000002E-2</v>
      </c>
      <c r="AT5" s="2">
        <v>9.2829999999999996E-2</v>
      </c>
      <c r="AU5" s="2">
        <v>0.11699999999999999</v>
      </c>
      <c r="AV5" s="1">
        <v>39577.800000000003</v>
      </c>
      <c r="AW5" s="1">
        <f>AV5/AU5</f>
        <v>338271.79487179493</v>
      </c>
      <c r="AX5" s="1">
        <f>AV5/EXP(AH5)</f>
        <v>335182.28122083563</v>
      </c>
      <c r="AY5" s="1">
        <v>5188.2089999999998</v>
      </c>
      <c r="AZ5" s="1">
        <f t="shared" si="1"/>
        <v>65474.621403331643</v>
      </c>
      <c r="BA5" s="1">
        <f t="shared" si="2"/>
        <v>7920.3630664348175</v>
      </c>
      <c r="BB5" s="1">
        <v>26730.077000000001</v>
      </c>
      <c r="BC5" s="1">
        <f t="shared" si="3"/>
        <v>202393.2535776482</v>
      </c>
      <c r="BD5" s="1">
        <f t="shared" si="4"/>
        <v>148286.62660799079</v>
      </c>
      <c r="BE5" s="1">
        <v>31918.286</v>
      </c>
      <c r="BF5" s="1">
        <v>4030.134</v>
      </c>
      <c r="BG5" s="1">
        <v>128.90199999999999</v>
      </c>
      <c r="BH5" s="1">
        <v>65.778000000000006</v>
      </c>
      <c r="BI5" s="1">
        <v>282.87299999999999</v>
      </c>
      <c r="BJ5" s="1">
        <v>296.40199999999999</v>
      </c>
      <c r="BK5" s="1">
        <v>384.11900000000003</v>
      </c>
      <c r="BL5" s="2">
        <v>-0.4230484955807266</v>
      </c>
      <c r="BM5" s="2">
        <v>6.9180000000000005E-2</v>
      </c>
      <c r="BN5" s="2">
        <v>0.50704000000000005</v>
      </c>
      <c r="BO5" s="2">
        <v>0.20801999999999998</v>
      </c>
      <c r="BP5" s="2">
        <v>8.004E-2</v>
      </c>
      <c r="BQ5" s="2">
        <v>2.1360000000000001E-2</v>
      </c>
      <c r="BR5" s="2">
        <v>0.20369000000000001</v>
      </c>
      <c r="BS5" s="2">
        <v>7.9240000000000005E-2</v>
      </c>
      <c r="BT5" s="2">
        <v>0.13207000000000002</v>
      </c>
      <c r="BU5" s="2">
        <v>0.11699999999999999</v>
      </c>
      <c r="BV5">
        <v>1962</v>
      </c>
      <c r="BW5" s="1">
        <v>0</v>
      </c>
      <c r="BX5" s="1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">
      <c r="A6" s="2">
        <v>0.23493364869606262</v>
      </c>
      <c r="B6" s="2">
        <v>6.1721129661390629E-2</v>
      </c>
      <c r="C6" s="2">
        <v>0.12337417633059156</v>
      </c>
      <c r="D6" s="2">
        <v>0.13288347340261222</v>
      </c>
      <c r="E6" s="2">
        <v>8.4522338862266427E-2</v>
      </c>
      <c r="F6" s="2">
        <v>2.3155928015743402E-2</v>
      </c>
      <c r="G6" s="2">
        <v>0.10968449413903776</v>
      </c>
      <c r="H6" s="2">
        <v>5.7357895471737887E-3</v>
      </c>
      <c r="I6" s="2">
        <v>7.8996637169531037E-2</v>
      </c>
      <c r="J6" s="2">
        <v>6.1155401064E-3</v>
      </c>
      <c r="K6" s="2">
        <v>6.0635796808055892E-2</v>
      </c>
      <c r="L6" s="2">
        <v>7.824104726113465E-2</v>
      </c>
      <c r="M6" s="2">
        <v>0.13288347340261222</v>
      </c>
      <c r="N6" s="2">
        <v>3.9190324761460187E-3</v>
      </c>
      <c r="O6" s="2">
        <v>2.0124013854735255E-3</v>
      </c>
      <c r="P6" s="2">
        <v>8.9705837612313547E-3</v>
      </c>
      <c r="Q6" s="2">
        <v>1.0168866773541414E-2</v>
      </c>
      <c r="R6" s="2">
        <v>1.2731379853396113E-2</v>
      </c>
      <c r="S6" s="2">
        <v>0.17068570971518598</v>
      </c>
      <c r="T6" s="1">
        <v>8409.3439999999991</v>
      </c>
      <c r="U6" s="1">
        <v>2209.2800000000002</v>
      </c>
      <c r="V6" s="1">
        <v>4416.1229999999996</v>
      </c>
      <c r="W6" s="1">
        <v>4756.5039999999999</v>
      </c>
      <c r="X6" s="1">
        <v>3025.4389999999999</v>
      </c>
      <c r="Y6" s="1">
        <v>828.85599999999999</v>
      </c>
      <c r="Z6" s="1">
        <v>3926.107</v>
      </c>
      <c r="AA6" s="1">
        <v>205.31</v>
      </c>
      <c r="AB6" s="1">
        <v>2827.6489999999999</v>
      </c>
      <c r="AC6" s="1">
        <v>218.90299999999999</v>
      </c>
      <c r="AD6" s="1">
        <v>2170.431</v>
      </c>
      <c r="AE6" s="1">
        <v>2800.6030000000001</v>
      </c>
      <c r="AF6" s="1">
        <v>35794.548999999999</v>
      </c>
      <c r="AG6" s="1">
        <v>35877.247000000003</v>
      </c>
      <c r="AH6" s="2">
        <v>-2.0910578000039099</v>
      </c>
      <c r="AI6" s="2">
        <v>0.14555999999999999</v>
      </c>
      <c r="AJ6" s="2">
        <v>8.9039999999999994E-2</v>
      </c>
      <c r="AK6" s="2">
        <v>0.15362000000000001</v>
      </c>
      <c r="AL6" s="2">
        <v>7.4469999999999995E-2</v>
      </c>
      <c r="AM6" s="2">
        <v>0.17672000000000002</v>
      </c>
      <c r="AN6" s="2">
        <v>0.21370999999999998</v>
      </c>
      <c r="AO6" s="2">
        <v>0.10590999999999999</v>
      </c>
      <c r="AP6" s="2">
        <v>0.49976999999999999</v>
      </c>
      <c r="AQ6" s="2">
        <v>0.24585000000000001</v>
      </c>
      <c r="AR6" s="2">
        <v>5.8970000000000002E-2</v>
      </c>
      <c r="AS6" s="2">
        <v>5.8860000000000003E-2</v>
      </c>
      <c r="AT6" s="2">
        <v>9.9700000000000011E-2</v>
      </c>
      <c r="AU6" s="2">
        <v>0.12266000000000001</v>
      </c>
      <c r="AV6" s="1">
        <v>44090.9</v>
      </c>
      <c r="AW6" s="1">
        <f>AV6/AU6</f>
        <v>359456.22044676339</v>
      </c>
      <c r="AX6" s="1">
        <f>AV6/EXP(AH6)</f>
        <v>356848.4607452465</v>
      </c>
      <c r="AY6" s="1">
        <v>6109.6180000000004</v>
      </c>
      <c r="AZ6" s="1">
        <f t="shared" si="1"/>
        <v>71700.715878418021</v>
      </c>
      <c r="BA6" s="1">
        <f t="shared" si="2"/>
        <v>9395.2491342946068</v>
      </c>
      <c r="BB6" s="1">
        <v>29767.628000000001</v>
      </c>
      <c r="BC6" s="1">
        <f t="shared" si="3"/>
        <v>216098.93284936479</v>
      </c>
      <c r="BD6" s="1">
        <f t="shared" si="4"/>
        <v>156669.64160641504</v>
      </c>
      <c r="BE6" s="1">
        <v>35877.247000000003</v>
      </c>
      <c r="BF6" s="1">
        <v>4756.5039999999999</v>
      </c>
      <c r="BG6" s="1">
        <v>140.28</v>
      </c>
      <c r="BH6" s="1">
        <v>72.033000000000001</v>
      </c>
      <c r="BI6" s="1">
        <v>321.09800000000001</v>
      </c>
      <c r="BJ6" s="1">
        <v>363.99</v>
      </c>
      <c r="BK6" s="1">
        <v>455.714</v>
      </c>
      <c r="BL6" s="2">
        <v>-0.43033989949663604</v>
      </c>
      <c r="BM6" s="2">
        <v>7.4469999999999995E-2</v>
      </c>
      <c r="BN6" s="2">
        <v>0.50710999999999995</v>
      </c>
      <c r="BO6" s="2">
        <v>0.20797000000000002</v>
      </c>
      <c r="BP6" s="2">
        <v>8.4580000000000002E-2</v>
      </c>
      <c r="BQ6" s="2">
        <v>2.4639999999999999E-2</v>
      </c>
      <c r="BR6" s="2">
        <v>0.21524000000000001</v>
      </c>
      <c r="BS6" s="2">
        <v>8.5210000000000008E-2</v>
      </c>
      <c r="BT6" s="2">
        <v>0.13775000000000001</v>
      </c>
      <c r="BU6" s="2">
        <v>0.12266000000000001</v>
      </c>
      <c r="BV6">
        <v>1963</v>
      </c>
      <c r="BW6" s="1">
        <v>0</v>
      </c>
      <c r="BX6" s="1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2">
      <c r="A7" s="2">
        <v>0.22940920239192847</v>
      </c>
      <c r="B7" s="2">
        <v>6.1005451633575118E-2</v>
      </c>
      <c r="C7" s="2">
        <v>0.12116127572870755</v>
      </c>
      <c r="D7" s="2">
        <v>0.1341599131151186</v>
      </c>
      <c r="E7" s="2">
        <v>8.5338899180283603E-2</v>
      </c>
      <c r="F7" s="2">
        <v>2.3215368160739283E-2</v>
      </c>
      <c r="G7" s="2">
        <v>0.10984184669030812</v>
      </c>
      <c r="H7" s="2">
        <v>5.8051942971516874E-3</v>
      </c>
      <c r="I7" s="2">
        <v>8.1176177985010464E-2</v>
      </c>
      <c r="J7" s="2">
        <v>6.1647536567207362E-3</v>
      </c>
      <c r="K7" s="2">
        <v>6.0375748503070752E-2</v>
      </c>
      <c r="L7" s="2">
        <v>8.2346168657385449E-2</v>
      </c>
      <c r="M7" s="2">
        <v>0.1341599131151186</v>
      </c>
      <c r="N7" s="2">
        <v>3.9730463270675597E-3</v>
      </c>
      <c r="O7" s="2">
        <v>2.0483552735637628E-3</v>
      </c>
      <c r="P7" s="2">
        <v>9.3646678915850334E-3</v>
      </c>
      <c r="Q7" s="2">
        <v>1.1554144958562999E-2</v>
      </c>
      <c r="R7" s="2">
        <v>1.3942089768431568E-2</v>
      </c>
      <c r="S7" s="2">
        <v>0.17504224296953269</v>
      </c>
      <c r="T7" s="1">
        <v>8948.991</v>
      </c>
      <c r="U7" s="1">
        <v>2379.7530000000002</v>
      </c>
      <c r="V7" s="1">
        <v>4726.3630000000003</v>
      </c>
      <c r="W7" s="1">
        <v>5233.4250000000002</v>
      </c>
      <c r="X7" s="1">
        <v>3328.973</v>
      </c>
      <c r="Y7" s="1">
        <v>905.60500000000002</v>
      </c>
      <c r="Z7" s="1">
        <v>4284.8050000000003</v>
      </c>
      <c r="AA7" s="1">
        <v>226.45400000000001</v>
      </c>
      <c r="AB7" s="1">
        <v>3166.59</v>
      </c>
      <c r="AC7" s="1">
        <v>240.48</v>
      </c>
      <c r="AD7" s="1">
        <v>2355.1889999999999</v>
      </c>
      <c r="AE7" s="1">
        <v>3212.23</v>
      </c>
      <c r="AF7" s="1">
        <v>39008.858000000007</v>
      </c>
      <c r="AG7" s="1">
        <v>39101.538</v>
      </c>
      <c r="AH7" s="2">
        <v>-2.0590717450430591</v>
      </c>
      <c r="AI7" s="2">
        <v>0.14756</v>
      </c>
      <c r="AJ7" s="2">
        <v>9.2109999999999997E-2</v>
      </c>
      <c r="AK7" s="2">
        <v>0.15847</v>
      </c>
      <c r="AL7" s="2">
        <v>7.841999999999999E-2</v>
      </c>
      <c r="AM7" s="2">
        <v>0.17983000000000002</v>
      </c>
      <c r="AN7" s="2">
        <v>0.22132000000000002</v>
      </c>
      <c r="AO7" s="2">
        <v>0.10757</v>
      </c>
      <c r="AP7" s="2">
        <v>0.51377000000000006</v>
      </c>
      <c r="AQ7" s="2">
        <v>0.25396999999999997</v>
      </c>
      <c r="AR7" s="2">
        <v>6.1980000000000007E-2</v>
      </c>
      <c r="AS7" s="2">
        <v>6.3750000000000001E-2</v>
      </c>
      <c r="AT7" s="2">
        <v>0.10566</v>
      </c>
      <c r="AU7" s="2">
        <v>0.12670000000000001</v>
      </c>
      <c r="AV7" s="1">
        <v>47882.1</v>
      </c>
      <c r="AW7" s="1">
        <f>AV7/AU7</f>
        <v>377917.12707182317</v>
      </c>
      <c r="AX7" s="1">
        <f>AV7/EXP(AH7)</f>
        <v>375332.9446340641</v>
      </c>
      <c r="AY7" s="1">
        <v>6828.1980000000003</v>
      </c>
      <c r="AZ7" s="1">
        <f t="shared" si="1"/>
        <v>75700.643015521069</v>
      </c>
      <c r="BA7" s="1">
        <f t="shared" si="2"/>
        <v>10514.561789449508</v>
      </c>
      <c r="BB7" s="1">
        <v>32273.34</v>
      </c>
      <c r="BC7" s="1">
        <f t="shared" si="3"/>
        <v>227967.36596736597</v>
      </c>
      <c r="BD7" s="1">
        <f t="shared" si="4"/>
        <v>164286.67444391354</v>
      </c>
      <c r="BE7" s="1">
        <v>39101.538</v>
      </c>
      <c r="BF7" s="1">
        <v>5233.4250000000002</v>
      </c>
      <c r="BG7" s="1">
        <v>154.98400000000001</v>
      </c>
      <c r="BH7" s="1">
        <v>79.903999999999996</v>
      </c>
      <c r="BI7" s="1">
        <v>365.30500000000001</v>
      </c>
      <c r="BJ7" s="1">
        <v>450.714</v>
      </c>
      <c r="BK7" s="1">
        <v>543.86500000000001</v>
      </c>
      <c r="BL7" s="2">
        <v>-0.43170033072925063</v>
      </c>
      <c r="BM7" s="2">
        <v>7.841999999999999E-2</v>
      </c>
      <c r="BN7" s="2">
        <v>0.52127000000000001</v>
      </c>
      <c r="BO7" s="2">
        <v>0.20788000000000001</v>
      </c>
      <c r="BP7" s="2">
        <v>8.9389999999999997E-2</v>
      </c>
      <c r="BQ7" s="2">
        <v>2.8759999999999997E-2</v>
      </c>
      <c r="BR7" s="2">
        <v>0.22575000000000001</v>
      </c>
      <c r="BS7" s="2">
        <v>9.0200000000000002E-2</v>
      </c>
      <c r="BT7" s="2">
        <v>0.14157</v>
      </c>
      <c r="BU7" s="2">
        <v>0.12670000000000001</v>
      </c>
      <c r="BV7">
        <v>1964</v>
      </c>
      <c r="BW7" s="1">
        <v>0</v>
      </c>
      <c r="BX7" s="1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">
      <c r="A8" s="2">
        <v>0.22614792666032224</v>
      </c>
      <c r="B8" s="2">
        <v>5.9642249448131415E-2</v>
      </c>
      <c r="C8" s="2">
        <v>0.1168295148470629</v>
      </c>
      <c r="D8" s="2">
        <v>0.14283084366187795</v>
      </c>
      <c r="E8" s="2">
        <v>8.2818242773731385E-2</v>
      </c>
      <c r="F8" s="2">
        <v>2.2661461465127309E-2</v>
      </c>
      <c r="G8" s="2">
        <v>0.11042266562347326</v>
      </c>
      <c r="H8" s="2">
        <v>6.3665267660016891E-3</v>
      </c>
      <c r="I8" s="2">
        <v>8.223657089746568E-2</v>
      </c>
      <c r="J8" s="2">
        <v>6.2501251065523343E-3</v>
      </c>
      <c r="K8" s="2">
        <v>5.9618291468265396E-2</v>
      </c>
      <c r="L8" s="2">
        <v>8.4175581281988376E-2</v>
      </c>
      <c r="M8" s="2">
        <v>0.14283084366187795</v>
      </c>
      <c r="N8" s="2">
        <v>4.3535277957142222E-3</v>
      </c>
      <c r="O8" s="2">
        <v>2.1325725989868871E-3</v>
      </c>
      <c r="P8" s="2">
        <v>9.5549566140689275E-3</v>
      </c>
      <c r="Q8" s="2">
        <v>1.2869520299966403E-2</v>
      </c>
      <c r="R8" s="2">
        <v>1.3440835216029247E-2</v>
      </c>
      <c r="S8" s="2">
        <v>0.18518225618664366</v>
      </c>
      <c r="T8" s="1">
        <v>9411.0390000000007</v>
      </c>
      <c r="U8" s="1">
        <v>2481.9839999999999</v>
      </c>
      <c r="V8" s="1">
        <v>4861.8050000000003</v>
      </c>
      <c r="W8" s="1">
        <v>5943.8379999999997</v>
      </c>
      <c r="X8" s="1">
        <v>3446.442</v>
      </c>
      <c r="Y8" s="1">
        <v>943.04600000000005</v>
      </c>
      <c r="Z8" s="1">
        <v>4595.1869999999999</v>
      </c>
      <c r="AA8" s="1">
        <v>264.94</v>
      </c>
      <c r="AB8" s="1">
        <v>3422.2359999999999</v>
      </c>
      <c r="AC8" s="1">
        <v>260.096</v>
      </c>
      <c r="AD8" s="1">
        <v>2480.9870000000001</v>
      </c>
      <c r="AE8" s="1">
        <v>3502.9270000000001</v>
      </c>
      <c r="AF8" s="1">
        <v>41614.527000000002</v>
      </c>
      <c r="AG8" s="1">
        <v>41690.182999999997</v>
      </c>
      <c r="AH8" s="2">
        <v>-2.0375497163768737</v>
      </c>
      <c r="AI8" s="2">
        <v>0.14957999999999999</v>
      </c>
      <c r="AJ8" s="2">
        <v>9.3039999999999998E-2</v>
      </c>
      <c r="AK8" s="2">
        <v>0.16183</v>
      </c>
      <c r="AL8" s="2">
        <v>8.3549999999999999E-2</v>
      </c>
      <c r="AM8" s="2">
        <v>0.18148</v>
      </c>
      <c r="AN8" s="2">
        <v>0.22539999999999999</v>
      </c>
      <c r="AO8" s="2">
        <v>0.10865</v>
      </c>
      <c r="AP8" s="2">
        <v>0.57323999999999997</v>
      </c>
      <c r="AQ8" s="2">
        <v>0.26001000000000002</v>
      </c>
      <c r="AR8" s="2">
        <v>6.4379999999999993E-2</v>
      </c>
      <c r="AS8" s="2">
        <v>6.6710000000000005E-2</v>
      </c>
      <c r="AT8" s="2">
        <v>0.10992</v>
      </c>
      <c r="AU8" s="2">
        <v>0.13005</v>
      </c>
      <c r="AV8" s="1">
        <v>51445.7</v>
      </c>
      <c r="AW8" s="1">
        <f>AV8/AU8</f>
        <v>395584.00615148019</v>
      </c>
      <c r="AX8" s="1">
        <f>AV8/EXP(AH8)</f>
        <v>394680.50869849202</v>
      </c>
      <c r="AY8" s="1">
        <v>7706.2719999999999</v>
      </c>
      <c r="AZ8" s="1">
        <f t="shared" si="1"/>
        <v>80115.10552032436</v>
      </c>
      <c r="BA8" s="1">
        <f t="shared" si="2"/>
        <v>12044.715360998534</v>
      </c>
      <c r="BB8" s="1">
        <v>33983.911</v>
      </c>
      <c r="BC8" s="1">
        <f t="shared" si="3"/>
        <v>235851.97446040669</v>
      </c>
      <c r="BD8" s="1">
        <f t="shared" si="4"/>
        <v>166808.33544657158</v>
      </c>
      <c r="BE8" s="1">
        <v>41690.182999999997</v>
      </c>
      <c r="BF8" s="1">
        <v>5943.8379999999997</v>
      </c>
      <c r="BG8" s="1">
        <v>181.17</v>
      </c>
      <c r="BH8" s="1">
        <v>88.745999999999995</v>
      </c>
      <c r="BI8" s="1">
        <v>397.625</v>
      </c>
      <c r="BJ8" s="1">
        <v>535.55899999999997</v>
      </c>
      <c r="BK8" s="1">
        <v>559.33399999999995</v>
      </c>
      <c r="BL8" s="2">
        <v>-0.44659146173612435</v>
      </c>
      <c r="BM8" s="2">
        <v>8.3549999999999999E-2</v>
      </c>
      <c r="BN8" s="2">
        <v>0.58099999999999996</v>
      </c>
      <c r="BO8" s="2">
        <v>0.20788000000000001</v>
      </c>
      <c r="BP8" s="2">
        <v>9.1700000000000004E-2</v>
      </c>
      <c r="BQ8" s="2">
        <v>3.2370000000000003E-2</v>
      </c>
      <c r="BR8" s="2">
        <v>0.23702999999999999</v>
      </c>
      <c r="BS8" s="2">
        <v>9.6189999999999998E-2</v>
      </c>
      <c r="BT8" s="2">
        <v>0.14409</v>
      </c>
      <c r="BU8" s="2">
        <v>0.13005</v>
      </c>
      <c r="BV8">
        <v>1965</v>
      </c>
      <c r="BW8" s="1">
        <v>0</v>
      </c>
      <c r="BX8" s="1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">
      <c r="A9" s="2">
        <v>0.22278188398088725</v>
      </c>
      <c r="B9" s="2">
        <v>5.7205666831680005E-2</v>
      </c>
      <c r="C9" s="2">
        <v>0.11352794053326316</v>
      </c>
      <c r="D9" s="2">
        <v>0.14913009400867169</v>
      </c>
      <c r="E9" s="2">
        <v>8.1075878157771161E-2</v>
      </c>
      <c r="F9" s="2">
        <v>2.3002411935523864E-2</v>
      </c>
      <c r="G9" s="2">
        <v>0.11312341535017463</v>
      </c>
      <c r="H9" s="2">
        <v>6.2026601540447904E-3</v>
      </c>
      <c r="I9" s="2">
        <v>8.2350760905529549E-2</v>
      </c>
      <c r="J9" s="2">
        <v>6.2821637561541318E-3</v>
      </c>
      <c r="K9" s="2">
        <v>5.901525245685927E-2</v>
      </c>
      <c r="L9" s="2">
        <v>8.6301871929440291E-2</v>
      </c>
      <c r="M9" s="2">
        <v>0.14913009400867169</v>
      </c>
      <c r="N9" s="2">
        <v>4.2430987914785119E-3</v>
      </c>
      <c r="O9" s="2">
        <v>2.1300692277504136E-3</v>
      </c>
      <c r="P9" s="2">
        <v>9.6683854482336982E-3</v>
      </c>
      <c r="Q9" s="2">
        <v>1.3316675393377102E-2</v>
      </c>
      <c r="R9" s="2">
        <v>1.353696755109641E-2</v>
      </c>
      <c r="S9" s="2">
        <v>0.19202529042060781</v>
      </c>
      <c r="T9" s="1">
        <v>10014.923000000001</v>
      </c>
      <c r="U9" s="1">
        <v>2571.62</v>
      </c>
      <c r="V9" s="1">
        <v>5103.5280000000002</v>
      </c>
      <c r="W9" s="1">
        <v>6703.9849999999997</v>
      </c>
      <c r="X9" s="1">
        <v>3644.68</v>
      </c>
      <c r="Y9" s="1">
        <v>1034.049</v>
      </c>
      <c r="Z9" s="1">
        <v>5085.3429999999998</v>
      </c>
      <c r="AA9" s="1">
        <v>278.834</v>
      </c>
      <c r="AB9" s="1">
        <v>3701.991</v>
      </c>
      <c r="AC9" s="1">
        <v>282.40800000000002</v>
      </c>
      <c r="AD9" s="1">
        <v>2652.9679999999998</v>
      </c>
      <c r="AE9" s="1">
        <v>3879.6089999999999</v>
      </c>
      <c r="AF9" s="1">
        <v>44953.938000000009</v>
      </c>
      <c r="AG9" s="1">
        <v>45008.733999999997</v>
      </c>
      <c r="AH9" s="2">
        <v>-2.0119030297047056</v>
      </c>
      <c r="AI9" s="2">
        <v>0.15384</v>
      </c>
      <c r="AJ9" s="2">
        <v>9.3599999999999989E-2</v>
      </c>
      <c r="AK9" s="2">
        <v>0.16515999999999997</v>
      </c>
      <c r="AL9" s="2">
        <v>8.8689999999999991E-2</v>
      </c>
      <c r="AM9" s="2">
        <v>0.18286000000000002</v>
      </c>
      <c r="AN9" s="2">
        <v>0.2311</v>
      </c>
      <c r="AO9" s="2">
        <v>0.11051</v>
      </c>
      <c r="AP9" s="2">
        <v>0.59146999999999994</v>
      </c>
      <c r="AQ9" s="2">
        <v>0.26495999999999997</v>
      </c>
      <c r="AR9" s="2">
        <v>6.6869999999999999E-2</v>
      </c>
      <c r="AS9" s="2">
        <v>7.0519999999999999E-2</v>
      </c>
      <c r="AT9" s="2">
        <v>0.11466</v>
      </c>
      <c r="AU9" s="2">
        <v>0.13397000000000001</v>
      </c>
      <c r="AV9" s="1">
        <v>55574.7</v>
      </c>
      <c r="AW9" s="1">
        <f>AV9/AU9</f>
        <v>414829.43942673731</v>
      </c>
      <c r="AX9" s="1">
        <f>AV9/EXP(AH9)</f>
        <v>415561.6968294442</v>
      </c>
      <c r="AY9" s="1">
        <v>8632.2929999999997</v>
      </c>
      <c r="AZ9" s="1">
        <f t="shared" si="1"/>
        <v>84638.621433473876</v>
      </c>
      <c r="BA9" s="1">
        <f t="shared" si="2"/>
        <v>13576.786013611671</v>
      </c>
      <c r="BB9" s="1">
        <v>36376.440999999999</v>
      </c>
      <c r="BC9" s="1">
        <f t="shared" si="3"/>
        <v>246737.03452485925</v>
      </c>
      <c r="BD9" s="1">
        <f t="shared" si="4"/>
        <v>172944.91213637538</v>
      </c>
      <c r="BE9" s="1">
        <v>45008.733999999997</v>
      </c>
      <c r="BF9" s="1">
        <v>6703.9849999999997</v>
      </c>
      <c r="BG9" s="1">
        <v>190.744</v>
      </c>
      <c r="BH9" s="1">
        <v>95.754999999999995</v>
      </c>
      <c r="BI9" s="1">
        <v>434.63200000000001</v>
      </c>
      <c r="BJ9" s="1">
        <v>598.63699999999994</v>
      </c>
      <c r="BK9" s="1">
        <v>608.54</v>
      </c>
      <c r="BL9" s="2">
        <v>-0.45285125270019611</v>
      </c>
      <c r="BM9" s="2">
        <v>8.8689999999999991E-2</v>
      </c>
      <c r="BN9" s="2">
        <v>0.59923000000000004</v>
      </c>
      <c r="BO9" s="2">
        <v>0.21042000000000002</v>
      </c>
      <c r="BP9" s="2">
        <v>9.6180000000000002E-2</v>
      </c>
      <c r="BQ9" s="2">
        <v>3.542E-2</v>
      </c>
      <c r="BR9" s="2">
        <v>0.24660000000000001</v>
      </c>
      <c r="BS9" s="2">
        <v>0.10199</v>
      </c>
      <c r="BT9" s="2">
        <v>0.14743000000000001</v>
      </c>
      <c r="BU9" s="2">
        <v>0.13397000000000001</v>
      </c>
      <c r="BV9">
        <v>1966</v>
      </c>
      <c r="BW9" s="1">
        <v>0</v>
      </c>
      <c r="BX9" s="1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">
      <c r="A10" s="2">
        <v>0.21661326126026456</v>
      </c>
      <c r="B10" s="2">
        <v>5.5492854663409703E-2</v>
      </c>
      <c r="C10" s="2">
        <v>0.10949488816550154</v>
      </c>
      <c r="D10" s="2">
        <v>0.15997923551935253</v>
      </c>
      <c r="E10" s="2">
        <v>7.9884071353028496E-2</v>
      </c>
      <c r="F10" s="2">
        <v>2.2852723443530575E-2</v>
      </c>
      <c r="G10" s="2">
        <v>0.11402640749929566</v>
      </c>
      <c r="H10" s="2">
        <v>6.3768194323417749E-3</v>
      </c>
      <c r="I10" s="2">
        <v>8.292495446031635E-2</v>
      </c>
      <c r="J10" s="2">
        <v>6.0944445233271326E-3</v>
      </c>
      <c r="K10" s="2">
        <v>5.8220067781896187E-2</v>
      </c>
      <c r="L10" s="2">
        <v>8.80402718977355E-2</v>
      </c>
      <c r="M10" s="2">
        <v>0.15997923551935253</v>
      </c>
      <c r="N10" s="2">
        <v>4.3620574014230154E-3</v>
      </c>
      <c r="O10" s="2">
        <v>2.2733830907978349E-3</v>
      </c>
      <c r="P10" s="2">
        <v>9.5782259561062975E-3</v>
      </c>
      <c r="Q10" s="2">
        <v>1.3915132223150483E-2</v>
      </c>
      <c r="R10" s="2">
        <v>1.4177493075886539E-2</v>
      </c>
      <c r="S10" s="2">
        <v>0.20428550671840431</v>
      </c>
      <c r="T10" s="1">
        <v>10541.656999999999</v>
      </c>
      <c r="U10" s="1">
        <v>2700.6039999999998</v>
      </c>
      <c r="V10" s="1">
        <v>5328.6559999999999</v>
      </c>
      <c r="W10" s="1">
        <v>7785.5169999999998</v>
      </c>
      <c r="X10" s="1">
        <v>3887.6219999999998</v>
      </c>
      <c r="Y10" s="1">
        <v>1112.146</v>
      </c>
      <c r="Z10" s="1">
        <v>5549.1859999999997</v>
      </c>
      <c r="AA10" s="1">
        <v>310.33300000000003</v>
      </c>
      <c r="AB10" s="1">
        <v>4035.6089999999999</v>
      </c>
      <c r="AC10" s="1">
        <v>296.59100000000001</v>
      </c>
      <c r="AD10" s="1">
        <v>2833.326</v>
      </c>
      <c r="AE10" s="1">
        <v>4284.55</v>
      </c>
      <c r="AF10" s="1">
        <v>48665.796999999999</v>
      </c>
      <c r="AG10" s="1">
        <v>48740.9</v>
      </c>
      <c r="AH10" s="2">
        <v>-1.9858614464567503</v>
      </c>
      <c r="AI10" s="2">
        <v>0.15531</v>
      </c>
      <c r="AJ10" s="2">
        <v>9.486E-2</v>
      </c>
      <c r="AK10" s="2">
        <v>0.16882999999999998</v>
      </c>
      <c r="AL10" s="2">
        <v>9.5509999999999998E-2</v>
      </c>
      <c r="AM10" s="2">
        <v>0.18417000000000003</v>
      </c>
      <c r="AN10" s="2">
        <v>0.23718</v>
      </c>
      <c r="AO10" s="2">
        <v>0.11334</v>
      </c>
      <c r="AP10" s="2">
        <v>0.61500999999999995</v>
      </c>
      <c r="AQ10" s="2">
        <v>0.27281</v>
      </c>
      <c r="AR10" s="2">
        <v>6.9290000000000004E-2</v>
      </c>
      <c r="AS10" s="2">
        <v>7.4499999999999997E-2</v>
      </c>
      <c r="AT10" s="2">
        <v>0.12000999999999999</v>
      </c>
      <c r="AU10" s="2">
        <v>0.13818</v>
      </c>
      <c r="AV10" s="1">
        <v>60552.9</v>
      </c>
      <c r="AW10" s="1">
        <f>AV10/AU10</f>
        <v>438217.54233608337</v>
      </c>
      <c r="AX10" s="1">
        <f>AV10/EXP(AH10)</f>
        <v>441147.28955761279</v>
      </c>
      <c r="AY10" s="1">
        <v>9941.7170000000006</v>
      </c>
      <c r="AZ10" s="1">
        <f t="shared" si="1"/>
        <v>90717.373847978844</v>
      </c>
      <c r="BA10" s="1">
        <f t="shared" si="2"/>
        <v>15865.636089324558</v>
      </c>
      <c r="BB10" s="1">
        <v>38799.182999999997</v>
      </c>
      <c r="BC10" s="1">
        <f t="shared" si="3"/>
        <v>257767.62556470901</v>
      </c>
      <c r="BD10" s="1">
        <f t="shared" si="4"/>
        <v>177123.08036789511</v>
      </c>
      <c r="BE10" s="1">
        <v>48740.9</v>
      </c>
      <c r="BF10" s="1">
        <v>7785.5169999999998</v>
      </c>
      <c r="BG10" s="1">
        <v>212.28299999999999</v>
      </c>
      <c r="BH10" s="1">
        <v>110.636</v>
      </c>
      <c r="BI10" s="1">
        <v>466.13200000000001</v>
      </c>
      <c r="BJ10" s="1">
        <v>677.19100000000003</v>
      </c>
      <c r="BK10" s="1">
        <v>689.95899999999995</v>
      </c>
      <c r="BL10" s="2">
        <v>-0.46741577593649847</v>
      </c>
      <c r="BM10" s="2">
        <v>9.5509999999999998E-2</v>
      </c>
      <c r="BN10" s="2">
        <v>0.62295</v>
      </c>
      <c r="BO10" s="2">
        <v>0.2152</v>
      </c>
      <c r="BP10" s="2">
        <v>0.10223</v>
      </c>
      <c r="BQ10" s="2">
        <v>3.9169999999999996E-2</v>
      </c>
      <c r="BR10" s="2">
        <v>0.25781999999999999</v>
      </c>
      <c r="BS10" s="2">
        <v>0.10958999999999999</v>
      </c>
      <c r="BT10" s="2">
        <v>0.15051999999999999</v>
      </c>
      <c r="BU10" s="2">
        <v>0.13818</v>
      </c>
      <c r="BV10">
        <v>1967</v>
      </c>
      <c r="BW10" s="1">
        <v>0</v>
      </c>
      <c r="BX10" s="1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">
      <c r="A11" s="2">
        <v>0.209815792568573</v>
      </c>
      <c r="B11" s="2">
        <v>5.4636788230487419E-2</v>
      </c>
      <c r="C11" s="2">
        <v>0.1061522836121848</v>
      </c>
      <c r="D11" s="2">
        <v>0.16908000655889174</v>
      </c>
      <c r="E11" s="2">
        <v>8.023527536786064E-2</v>
      </c>
      <c r="F11" s="2">
        <v>2.1531073218838067E-2</v>
      </c>
      <c r="G11" s="2">
        <v>0.11539902568358006</v>
      </c>
      <c r="H11" s="2">
        <v>6.2450823564217028E-3</v>
      </c>
      <c r="I11" s="2">
        <v>8.3942682344557887E-2</v>
      </c>
      <c r="J11" s="2">
        <v>6.1155376747227099E-3</v>
      </c>
      <c r="K11" s="2">
        <v>5.6074732320159151E-2</v>
      </c>
      <c r="L11" s="2">
        <v>9.0771720063723013E-2</v>
      </c>
      <c r="M11" s="2">
        <v>0.16908000655889174</v>
      </c>
      <c r="N11" s="2">
        <v>4.2745990586469862E-3</v>
      </c>
      <c r="O11" s="2">
        <v>2.097099567599338E-3</v>
      </c>
      <c r="P11" s="2">
        <v>9.2501022363023783E-3</v>
      </c>
      <c r="Q11" s="2">
        <v>1.3983410734450393E-2</v>
      </c>
      <c r="R11" s="2">
        <v>1.6339393174866833E-2</v>
      </c>
      <c r="S11" s="2">
        <v>0.2150245925588867</v>
      </c>
      <c r="T11" s="1">
        <v>11177.138000000001</v>
      </c>
      <c r="U11" s="1">
        <v>2910.567</v>
      </c>
      <c r="V11" s="1">
        <v>5654.8590000000004</v>
      </c>
      <c r="W11" s="1">
        <v>9007.0939999999991</v>
      </c>
      <c r="X11" s="1">
        <v>4274.2290000000003</v>
      </c>
      <c r="Y11" s="1">
        <v>1146.9860000000001</v>
      </c>
      <c r="Z11" s="1">
        <v>6147.4440000000004</v>
      </c>
      <c r="AA11" s="1">
        <v>332.68299999999999</v>
      </c>
      <c r="AB11" s="1">
        <v>4471.7269999999999</v>
      </c>
      <c r="AC11" s="1">
        <v>325.78199999999998</v>
      </c>
      <c r="AD11" s="1">
        <v>2987.1680000000001</v>
      </c>
      <c r="AE11" s="1">
        <v>4835.518</v>
      </c>
      <c r="AF11" s="1">
        <v>53271.194999999992</v>
      </c>
      <c r="AG11" s="1">
        <v>53403.601999999999</v>
      </c>
      <c r="AH11" s="2">
        <v>-1.9404194360497926</v>
      </c>
      <c r="AI11" s="2">
        <v>0.15981999999999999</v>
      </c>
      <c r="AJ11" s="2">
        <v>9.9949999999999997E-2</v>
      </c>
      <c r="AK11" s="2">
        <v>0.17219000000000001</v>
      </c>
      <c r="AL11" s="2">
        <v>0.10308</v>
      </c>
      <c r="AM11" s="2">
        <v>0.18861</v>
      </c>
      <c r="AN11" s="2">
        <v>0.24317</v>
      </c>
      <c r="AO11" s="2">
        <v>0.11968999999999999</v>
      </c>
      <c r="AP11" s="2">
        <v>0.63460000000000005</v>
      </c>
      <c r="AQ11" s="2">
        <v>0.29103000000000001</v>
      </c>
      <c r="AR11" s="2">
        <v>7.4270000000000003E-2</v>
      </c>
      <c r="AS11" s="2">
        <v>8.0630000000000007E-2</v>
      </c>
      <c r="AT11" s="2">
        <v>0.12869</v>
      </c>
      <c r="AU11" s="2">
        <v>0.14513999999999999</v>
      </c>
      <c r="AV11" s="1">
        <v>66481.600000000006</v>
      </c>
      <c r="AW11" s="1">
        <f>AV11/AU11</f>
        <v>458051.53644756792</v>
      </c>
      <c r="AX11" s="1">
        <f>AV11/EXP(AH11)</f>
        <v>462822.98246729275</v>
      </c>
      <c r="AY11" s="1">
        <v>11454.617</v>
      </c>
      <c r="AZ11" s="1">
        <f t="shared" si="1"/>
        <v>97287.38746390352</v>
      </c>
      <c r="BA11" s="1">
        <f t="shared" si="2"/>
        <v>18426.502518308047</v>
      </c>
      <c r="BB11" s="1">
        <v>41948.985000000001</v>
      </c>
      <c r="BC11" s="1">
        <f t="shared" si="3"/>
        <v>266935.95291123132</v>
      </c>
      <c r="BD11" s="1">
        <f t="shared" si="4"/>
        <v>181540.10088375781</v>
      </c>
      <c r="BE11" s="1">
        <v>53403.601999999999</v>
      </c>
      <c r="BF11" s="1">
        <v>9007.0939999999991</v>
      </c>
      <c r="BG11" s="1">
        <v>227.71299999999999</v>
      </c>
      <c r="BH11" s="1">
        <v>111.715</v>
      </c>
      <c r="BI11" s="1">
        <v>492.76400000000001</v>
      </c>
      <c r="BJ11" s="1">
        <v>744.91300000000001</v>
      </c>
      <c r="BK11" s="1">
        <v>870.41899999999998</v>
      </c>
      <c r="BL11" s="2">
        <v>-0.47539710239026167</v>
      </c>
      <c r="BM11" s="2">
        <v>0.10308</v>
      </c>
      <c r="BN11" s="2">
        <v>0.64343000000000006</v>
      </c>
      <c r="BO11" s="2">
        <v>0.19550999999999999</v>
      </c>
      <c r="BP11" s="2">
        <v>0.10443</v>
      </c>
      <c r="BQ11" s="2">
        <v>4.2999999999999997E-2</v>
      </c>
      <c r="BR11" s="2">
        <v>0.27659</v>
      </c>
      <c r="BS11" s="2">
        <v>0.11774</v>
      </c>
      <c r="BT11" s="2">
        <v>0.15715000000000001</v>
      </c>
      <c r="BU11" s="2">
        <v>0.14513999999999999</v>
      </c>
      <c r="BV11">
        <v>1968</v>
      </c>
      <c r="BW11" s="1">
        <v>0</v>
      </c>
      <c r="BX11" s="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">
      <c r="A12" s="2">
        <v>0.20250836729038313</v>
      </c>
      <c r="B12" s="2">
        <v>5.2250769687194748E-2</v>
      </c>
      <c r="C12" s="2">
        <v>0.10417495686440696</v>
      </c>
      <c r="D12" s="2">
        <v>0.17411348458772921</v>
      </c>
      <c r="E12" s="2">
        <v>7.9438866342143616E-2</v>
      </c>
      <c r="F12" s="2">
        <v>2.1662172699624688E-2</v>
      </c>
      <c r="G12" s="2">
        <v>0.11899700472488894</v>
      </c>
      <c r="H12" s="2">
        <v>7.1898926533559586E-3</v>
      </c>
      <c r="I12" s="2">
        <v>8.28964672645605E-2</v>
      </c>
      <c r="J12" s="2">
        <v>6.2571565730214261E-3</v>
      </c>
      <c r="K12" s="2">
        <v>5.4854359399985363E-2</v>
      </c>
      <c r="L12" s="2">
        <v>9.5656501912705444E-2</v>
      </c>
      <c r="M12" s="2">
        <v>0.17411348458772921</v>
      </c>
      <c r="N12" s="2">
        <v>4.9224652041740449E-3</v>
      </c>
      <c r="O12" s="2">
        <v>2.0199477418688556E-3</v>
      </c>
      <c r="P12" s="2">
        <v>9.2775066481107556E-3</v>
      </c>
      <c r="Q12" s="2">
        <v>1.438846130999598E-2</v>
      </c>
      <c r="R12" s="2">
        <v>2.0533799317964264E-2</v>
      </c>
      <c r="S12" s="2">
        <v>0.22525564837801873</v>
      </c>
      <c r="T12" s="1">
        <v>12324.156000000001</v>
      </c>
      <c r="U12" s="1">
        <v>3179.8519999999999</v>
      </c>
      <c r="V12" s="1">
        <v>6339.8289999999997</v>
      </c>
      <c r="W12" s="1">
        <v>10596.114</v>
      </c>
      <c r="X12" s="1">
        <v>4834.4520000000002</v>
      </c>
      <c r="Y12" s="1">
        <v>1318.306</v>
      </c>
      <c r="Z12" s="1">
        <v>7241.8620000000001</v>
      </c>
      <c r="AA12" s="1">
        <v>437.55900000000003</v>
      </c>
      <c r="AB12" s="1">
        <v>5044.8729999999996</v>
      </c>
      <c r="AC12" s="1">
        <v>380.79500000000002</v>
      </c>
      <c r="AD12" s="1">
        <v>3338.3</v>
      </c>
      <c r="AE12" s="1">
        <v>5821.4170000000004</v>
      </c>
      <c r="AF12" s="1">
        <v>60857.514999999999</v>
      </c>
      <c r="AG12" s="1">
        <v>60894.786999999997</v>
      </c>
      <c r="AH12" s="2">
        <v>-1.8736946948987041</v>
      </c>
      <c r="AI12" s="2">
        <v>0.16933000000000001</v>
      </c>
      <c r="AJ12" s="2">
        <v>0.10691000000000001</v>
      </c>
      <c r="AK12" s="2">
        <v>0.1804</v>
      </c>
      <c r="AL12" s="2">
        <v>0.11182</v>
      </c>
      <c r="AM12" s="2">
        <v>0.19849</v>
      </c>
      <c r="AN12" s="2">
        <v>0.2611</v>
      </c>
      <c r="AO12" s="2">
        <v>0.12886</v>
      </c>
      <c r="AP12" s="2">
        <v>0.746</v>
      </c>
      <c r="AQ12" s="2">
        <v>0.30890999999999996</v>
      </c>
      <c r="AR12" s="2">
        <v>8.1669999999999993E-2</v>
      </c>
      <c r="AS12" s="2">
        <v>8.7769999999999987E-2</v>
      </c>
      <c r="AT12" s="2">
        <v>0.14102000000000001</v>
      </c>
      <c r="AU12" s="2">
        <v>0.15543999999999999</v>
      </c>
      <c r="AV12" s="1">
        <v>74577.8</v>
      </c>
      <c r="AW12" s="1">
        <f>AV12/AU12</f>
        <v>479785.12609366962</v>
      </c>
      <c r="AX12" s="1">
        <f>AV12/EXP(AH12)</f>
        <v>485673.97754076199</v>
      </c>
      <c r="AY12" s="1">
        <v>13708.499</v>
      </c>
      <c r="AZ12" s="1">
        <f t="shared" si="1"/>
        <v>107030.75421611493</v>
      </c>
      <c r="BA12" s="1">
        <f t="shared" si="2"/>
        <v>22037.057453977337</v>
      </c>
      <c r="BB12" s="1">
        <v>47186.288</v>
      </c>
      <c r="BC12" s="1">
        <f t="shared" si="3"/>
        <v>281625.11489107733</v>
      </c>
      <c r="BD12" s="1">
        <f t="shared" si="4"/>
        <v>191155.75677812286</v>
      </c>
      <c r="BE12" s="1">
        <v>60894.786999999997</v>
      </c>
      <c r="BF12" s="1">
        <v>10596.114</v>
      </c>
      <c r="BG12" s="1">
        <v>299.56900000000002</v>
      </c>
      <c r="BH12" s="1">
        <v>122.929</v>
      </c>
      <c r="BI12" s="1">
        <v>564.60599999999999</v>
      </c>
      <c r="BJ12" s="1">
        <v>875.64599999999996</v>
      </c>
      <c r="BK12" s="1">
        <v>1249.636</v>
      </c>
      <c r="BL12" s="2">
        <v>-0.47470946057309177</v>
      </c>
      <c r="BM12" s="2">
        <v>0.11182</v>
      </c>
      <c r="BN12" s="2">
        <v>0.75552999999999992</v>
      </c>
      <c r="BO12" s="2">
        <v>0.19561000000000001</v>
      </c>
      <c r="BP12" s="2">
        <v>0.10845</v>
      </c>
      <c r="BQ12" s="2">
        <v>4.8930000000000001E-2</v>
      </c>
      <c r="BR12" s="2">
        <v>0.30253000000000002</v>
      </c>
      <c r="BS12" s="2">
        <v>0.12808</v>
      </c>
      <c r="BT12" s="2">
        <v>0.16754999999999998</v>
      </c>
      <c r="BU12" s="2">
        <v>0.15543999999999999</v>
      </c>
      <c r="BV12">
        <v>1969</v>
      </c>
      <c r="BW12" s="1">
        <v>0</v>
      </c>
      <c r="BX12" s="1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2">
      <c r="A13" s="2">
        <v>0.19704544920645295</v>
      </c>
      <c r="B13" s="2">
        <v>5.0905087391468637E-2</v>
      </c>
      <c r="C13" s="2">
        <v>0.101249095976605</v>
      </c>
      <c r="D13" s="2">
        <v>0.18039542890384636</v>
      </c>
      <c r="E13" s="2">
        <v>7.7623682265791236E-2</v>
      </c>
      <c r="F13" s="2">
        <v>2.1800629897858137E-2</v>
      </c>
      <c r="G13" s="2">
        <v>0.12018806854695564</v>
      </c>
      <c r="H13" s="2">
        <v>7.5997142511984462E-3</v>
      </c>
      <c r="I13" s="2">
        <v>8.3308905249860149E-2</v>
      </c>
      <c r="J13" s="2">
        <v>6.4667522924789986E-3</v>
      </c>
      <c r="K13" s="2">
        <v>5.5314979115483019E-2</v>
      </c>
      <c r="L13" s="2">
        <v>9.8102206902001582E-2</v>
      </c>
      <c r="M13" s="2">
        <v>0.18039542890384636</v>
      </c>
      <c r="N13" s="2">
        <v>5.0472883661730672E-3</v>
      </c>
      <c r="O13" s="2">
        <v>2.0126568953934276E-3</v>
      </c>
      <c r="P13" s="2">
        <v>9.1554653642553028E-3</v>
      </c>
      <c r="Q13" s="2">
        <v>1.4199002844038624E-2</v>
      </c>
      <c r="R13" s="2">
        <v>2.2429523534615366E-2</v>
      </c>
      <c r="S13" s="2">
        <v>0.23323936590832217</v>
      </c>
      <c r="T13" s="1">
        <v>13185.791999999999</v>
      </c>
      <c r="U13" s="1">
        <v>3406.442</v>
      </c>
      <c r="V13" s="1">
        <v>6775.3379999999997</v>
      </c>
      <c r="W13" s="1">
        <v>12071.614</v>
      </c>
      <c r="X13" s="1">
        <v>5194.384</v>
      </c>
      <c r="Y13" s="1">
        <v>1458.8440000000001</v>
      </c>
      <c r="Z13" s="1">
        <v>8042.6869999999999</v>
      </c>
      <c r="AA13" s="1">
        <v>508.55399999999997</v>
      </c>
      <c r="AB13" s="1">
        <v>5574.8249999999998</v>
      </c>
      <c r="AC13" s="1">
        <v>432.73899999999998</v>
      </c>
      <c r="AD13" s="1">
        <v>3701.5410000000002</v>
      </c>
      <c r="AE13" s="1">
        <v>6564.7560000000003</v>
      </c>
      <c r="AF13" s="1">
        <v>66917.515999999989</v>
      </c>
      <c r="AG13" s="1">
        <v>66849.695999999996</v>
      </c>
      <c r="AH13" s="2">
        <v>-1.8274766801519293</v>
      </c>
      <c r="AI13" s="2">
        <v>0.17571999999999999</v>
      </c>
      <c r="AJ13" s="2">
        <v>0.11146</v>
      </c>
      <c r="AK13" s="2">
        <v>0.18719000000000002</v>
      </c>
      <c r="AL13" s="2">
        <v>0.11930999999999999</v>
      </c>
      <c r="AM13" s="2">
        <v>0.20873</v>
      </c>
      <c r="AN13" s="2">
        <v>0.27046999999999999</v>
      </c>
      <c r="AO13" s="2">
        <v>0.13428000000000001</v>
      </c>
      <c r="AP13" s="2">
        <v>0.77485999999999999</v>
      </c>
      <c r="AQ13" s="2">
        <v>0.32101000000000002</v>
      </c>
      <c r="AR13" s="2">
        <v>8.8900000000000007E-2</v>
      </c>
      <c r="AS13" s="2">
        <v>9.3030000000000002E-2</v>
      </c>
      <c r="AT13" s="2">
        <v>0.15184</v>
      </c>
      <c r="AU13" s="2">
        <v>0.16324000000000002</v>
      </c>
      <c r="AV13" s="1">
        <v>83989.2</v>
      </c>
      <c r="AW13" s="1">
        <f>AV13/AU13</f>
        <v>514513.59960793913</v>
      </c>
      <c r="AX13" s="1">
        <f>AV13/EXP(AH13)</f>
        <v>522259.66112107399</v>
      </c>
      <c r="AY13" s="1">
        <v>15607.799000000001</v>
      </c>
      <c r="AZ13" s="1">
        <f t="shared" si="1"/>
        <v>113908.91110786746</v>
      </c>
      <c r="BA13" s="1">
        <f t="shared" si="2"/>
        <v>25076.932495262041</v>
      </c>
      <c r="BB13" s="1">
        <v>51241.896000000001</v>
      </c>
      <c r="BC13" s="1">
        <f t="shared" si="3"/>
        <v>292861.03903526324</v>
      </c>
      <c r="BD13" s="1">
        <f t="shared" si="4"/>
        <v>198314.96211216497</v>
      </c>
      <c r="BE13" s="1">
        <v>66849.695999999996</v>
      </c>
      <c r="BF13" s="1">
        <v>12071.614</v>
      </c>
      <c r="BG13" s="1">
        <v>337.75200000000001</v>
      </c>
      <c r="BH13" s="1">
        <v>134.68199999999999</v>
      </c>
      <c r="BI13" s="1">
        <v>612.66099999999994</v>
      </c>
      <c r="BJ13" s="1">
        <v>950.16200000000003</v>
      </c>
      <c r="BK13" s="1">
        <v>1500.9280000000001</v>
      </c>
      <c r="BL13" s="2">
        <v>-0.47417767425642299</v>
      </c>
      <c r="BM13" s="2">
        <v>0.11930999999999999</v>
      </c>
      <c r="BN13" s="2">
        <v>0.78476000000000001</v>
      </c>
      <c r="BO13" s="2">
        <v>0.20161000000000001</v>
      </c>
      <c r="BP13" s="2">
        <v>0.11675000000000001</v>
      </c>
      <c r="BQ13" s="2">
        <v>5.3129999999999997E-2</v>
      </c>
      <c r="BR13" s="2">
        <v>0.32999000000000001</v>
      </c>
      <c r="BS13" s="2">
        <v>0.13702</v>
      </c>
      <c r="BT13" s="2">
        <v>0.17496999999999999</v>
      </c>
      <c r="BU13" s="2">
        <v>0.16324000000000002</v>
      </c>
      <c r="BV13">
        <v>1970</v>
      </c>
      <c r="BW13" s="1">
        <v>0</v>
      </c>
      <c r="BX13" s="1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">
      <c r="A14" s="2">
        <v>0.19067198398221366</v>
      </c>
      <c r="B14" s="2">
        <v>4.9262026420729452E-2</v>
      </c>
      <c r="C14" s="2">
        <v>9.7819380509810872E-2</v>
      </c>
      <c r="D14" s="2">
        <v>0.18130596292394188</v>
      </c>
      <c r="E14" s="2">
        <v>7.8867457822768855E-2</v>
      </c>
      <c r="F14" s="2">
        <v>2.1903830386180729E-2</v>
      </c>
      <c r="G14" s="2">
        <v>0.12432087066871342</v>
      </c>
      <c r="H14" s="2">
        <v>8.1357015469523519E-3</v>
      </c>
      <c r="I14" s="2">
        <v>8.4068006005331694E-2</v>
      </c>
      <c r="J14" s="2">
        <v>6.9782339512676362E-3</v>
      </c>
      <c r="K14" s="2">
        <v>5.5785096483958338E-2</v>
      </c>
      <c r="L14" s="2">
        <v>0.10088144929813121</v>
      </c>
      <c r="M14" s="2">
        <v>0.18130596292394188</v>
      </c>
      <c r="N14" s="2">
        <v>5.1168835652689072E-3</v>
      </c>
      <c r="O14" s="2">
        <v>2.2164700195766106E-3</v>
      </c>
      <c r="P14" s="2">
        <v>9.3820929081390083E-3</v>
      </c>
      <c r="Q14" s="2">
        <v>1.4560587461575099E-2</v>
      </c>
      <c r="R14" s="2">
        <v>2.2865237471952883E-2</v>
      </c>
      <c r="S14" s="2">
        <v>0.23544723435045439</v>
      </c>
      <c r="T14" s="1">
        <v>14248.332</v>
      </c>
      <c r="U14" s="1">
        <v>3681.2</v>
      </c>
      <c r="V14" s="1">
        <v>7309.7420000000002</v>
      </c>
      <c r="W14" s="1">
        <v>13548.438</v>
      </c>
      <c r="X14" s="1">
        <v>5893.5230000000001</v>
      </c>
      <c r="Y14" s="1">
        <v>1636.806</v>
      </c>
      <c r="Z14" s="1">
        <v>9290.1170000000002</v>
      </c>
      <c r="AA14" s="1">
        <v>607.95600000000002</v>
      </c>
      <c r="AB14" s="1">
        <v>6282.1440000000002</v>
      </c>
      <c r="AC14" s="1">
        <v>521.46199999999999</v>
      </c>
      <c r="AD14" s="1">
        <v>4168.6490000000003</v>
      </c>
      <c r="AE14" s="1">
        <v>7538.5609999999997</v>
      </c>
      <c r="AF14" s="1">
        <v>74726.929999999993</v>
      </c>
      <c r="AG14" s="1">
        <v>74593.706000000006</v>
      </c>
      <c r="AH14" s="2">
        <v>-1.772880768220537</v>
      </c>
      <c r="AI14" s="2">
        <v>0.18484</v>
      </c>
      <c r="AJ14" s="2">
        <v>0.11442000000000001</v>
      </c>
      <c r="AK14" s="2">
        <v>0.19491</v>
      </c>
      <c r="AL14" s="2">
        <v>0.12682000000000002</v>
      </c>
      <c r="AM14" s="2">
        <v>0.21737999999999999</v>
      </c>
      <c r="AN14" s="2">
        <v>0.28242</v>
      </c>
      <c r="AO14" s="2">
        <v>0.14318</v>
      </c>
      <c r="AP14" s="2">
        <v>0.84605999999999992</v>
      </c>
      <c r="AQ14" s="2">
        <v>0.33944000000000002</v>
      </c>
      <c r="AR14" s="2">
        <v>9.2449999999999991E-2</v>
      </c>
      <c r="AS14" s="2">
        <v>9.9589999999999998E-2</v>
      </c>
      <c r="AT14" s="2">
        <v>0.16356000000000001</v>
      </c>
      <c r="AU14" s="2">
        <v>0.17247000000000001</v>
      </c>
      <c r="AV14" s="1">
        <v>93629.1</v>
      </c>
      <c r="AW14" s="1">
        <f>AV14/AU14</f>
        <v>542871.80379196384</v>
      </c>
      <c r="AX14" s="1">
        <f>AV14/EXP(AH14)</f>
        <v>551268.50801145076</v>
      </c>
      <c r="AY14" s="1">
        <v>17594.249</v>
      </c>
      <c r="AZ14" s="1">
        <f t="shared" si="1"/>
        <v>120007.15503717346</v>
      </c>
      <c r="BA14" s="1">
        <f t="shared" si="2"/>
        <v>27940.342734600414</v>
      </c>
      <c r="BB14" s="1">
        <v>56999.457000000002</v>
      </c>
      <c r="BC14" s="1">
        <f t="shared" si="3"/>
        <v>309544.13489736069</v>
      </c>
      <c r="BD14" s="1">
        <f t="shared" si="4"/>
        <v>211330.44033634631</v>
      </c>
      <c r="BE14" s="1">
        <v>74593.706000000006</v>
      </c>
      <c r="BF14" s="1">
        <v>13548.438</v>
      </c>
      <c r="BG14" s="1">
        <v>382.36900000000003</v>
      </c>
      <c r="BH14" s="1">
        <v>165.63</v>
      </c>
      <c r="BI14" s="1">
        <v>701.09500000000003</v>
      </c>
      <c r="BJ14" s="1">
        <v>1088.068</v>
      </c>
      <c r="BK14" s="1">
        <v>1708.6489999999999</v>
      </c>
      <c r="BL14" s="2">
        <v>-0.46249953327869564</v>
      </c>
      <c r="BM14" s="2">
        <v>0.12682000000000002</v>
      </c>
      <c r="BN14" s="2">
        <v>0.81834000000000007</v>
      </c>
      <c r="BO14" s="2">
        <v>0.23746999999999999</v>
      </c>
      <c r="BP14" s="2">
        <v>0.12487999999999999</v>
      </c>
      <c r="BQ14" s="2">
        <v>6.0970000000000003E-2</v>
      </c>
      <c r="BR14" s="2">
        <v>0.35558000000000001</v>
      </c>
      <c r="BS14" s="2">
        <v>0.14660999999999999</v>
      </c>
      <c r="BT14" s="2">
        <v>0.18414000000000003</v>
      </c>
      <c r="BU14" s="2">
        <v>0.17247000000000001</v>
      </c>
      <c r="BV14">
        <v>1971</v>
      </c>
      <c r="BW14" s="1">
        <v>0</v>
      </c>
      <c r="BX14" s="1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">
      <c r="A15" s="2">
        <v>0.18864787675549133</v>
      </c>
      <c r="B15" s="2">
        <v>4.8330439126109889E-2</v>
      </c>
      <c r="C15" s="2">
        <v>9.5009335736037523E-2</v>
      </c>
      <c r="D15" s="2">
        <v>0.18079713426112445</v>
      </c>
      <c r="E15" s="2">
        <v>7.9597664236019952E-2</v>
      </c>
      <c r="F15" s="2">
        <v>2.1997654174788311E-2</v>
      </c>
      <c r="G15" s="2">
        <v>0.12745156553389478</v>
      </c>
      <c r="H15" s="2">
        <v>8.0629084760249544E-3</v>
      </c>
      <c r="I15" s="2">
        <v>8.6944659811338434E-2</v>
      </c>
      <c r="J15" s="2">
        <v>7.1504240217580388E-3</v>
      </c>
      <c r="K15" s="2">
        <v>5.5736313586851681E-2</v>
      </c>
      <c r="L15" s="2">
        <v>0.10027402428056061</v>
      </c>
      <c r="M15" s="2">
        <v>0.18079713426112445</v>
      </c>
      <c r="N15" s="2">
        <v>5.1901070198588613E-3</v>
      </c>
      <c r="O15" s="2">
        <v>2.0679389956553464E-3</v>
      </c>
      <c r="P15" s="2">
        <v>9.6631108164348008E-3</v>
      </c>
      <c r="Q15" s="2">
        <v>1.5097354199070892E-2</v>
      </c>
      <c r="R15" s="2">
        <v>2.1812769424705794E-2</v>
      </c>
      <c r="S15" s="2">
        <v>0.23462841471685014</v>
      </c>
      <c r="T15" s="1">
        <v>15689.982</v>
      </c>
      <c r="U15" s="1">
        <v>4019.6779999999999</v>
      </c>
      <c r="V15" s="1">
        <v>7901.9960000000001</v>
      </c>
      <c r="W15" s="1">
        <v>15037.03</v>
      </c>
      <c r="X15" s="1">
        <v>6620.1959999999999</v>
      </c>
      <c r="Y15" s="1">
        <v>1829.5609999999999</v>
      </c>
      <c r="Z15" s="1">
        <v>10600.24</v>
      </c>
      <c r="AA15" s="1">
        <v>670.59799999999996</v>
      </c>
      <c r="AB15" s="1">
        <v>7231.2510000000002</v>
      </c>
      <c r="AC15" s="1">
        <v>594.70600000000002</v>
      </c>
      <c r="AD15" s="1">
        <v>4635.63</v>
      </c>
      <c r="AE15" s="1">
        <v>8339.8639999999996</v>
      </c>
      <c r="AF15" s="1">
        <v>83170.732000000004</v>
      </c>
      <c r="AG15" s="1">
        <v>83046.157000000007</v>
      </c>
      <c r="AH15" s="2">
        <v>-1.7142840112661653</v>
      </c>
      <c r="AI15" s="2">
        <v>0.19841999999999999</v>
      </c>
      <c r="AJ15" s="2">
        <v>0.12121</v>
      </c>
      <c r="AK15" s="2">
        <v>0.20487</v>
      </c>
      <c r="AL15" s="2">
        <v>0.13289000000000001</v>
      </c>
      <c r="AM15" s="2">
        <v>0.22582999999999998</v>
      </c>
      <c r="AN15" s="2">
        <v>0.29469999999999996</v>
      </c>
      <c r="AO15" s="2">
        <v>0.14920999999999998</v>
      </c>
      <c r="AP15" s="2">
        <v>0.84652000000000005</v>
      </c>
      <c r="AQ15" s="2">
        <v>0.3629</v>
      </c>
      <c r="AR15" s="2">
        <v>9.7820000000000004E-2</v>
      </c>
      <c r="AS15" s="2">
        <v>0.10811</v>
      </c>
      <c r="AT15" s="2">
        <v>0.17671000000000001</v>
      </c>
      <c r="AU15" s="2">
        <v>0.18257999999999999</v>
      </c>
      <c r="AV15" s="1">
        <v>104922.5</v>
      </c>
      <c r="AW15" s="1">
        <f>AV15/AU15</f>
        <v>574665.89987950493</v>
      </c>
      <c r="AX15" s="1">
        <f>AV15/EXP(AH15)</f>
        <v>582602.99989311048</v>
      </c>
      <c r="AY15" s="1">
        <v>19514.217000000001</v>
      </c>
      <c r="AZ15" s="1">
        <f t="shared" si="1"/>
        <v>125963.18745158792</v>
      </c>
      <c r="BA15" s="1">
        <f t="shared" si="2"/>
        <v>30581.36242097486</v>
      </c>
      <c r="BB15" s="1">
        <v>63531.94</v>
      </c>
      <c r="BC15" s="1">
        <f t="shared" si="3"/>
        <v>325704.60371167847</v>
      </c>
      <c r="BD15" s="1">
        <f t="shared" si="4"/>
        <v>225107.7794950158</v>
      </c>
      <c r="BE15" s="1">
        <v>83046.157000000007</v>
      </c>
      <c r="BF15" s="1">
        <v>15037.03</v>
      </c>
      <c r="BG15" s="1">
        <v>431.66500000000002</v>
      </c>
      <c r="BH15" s="1">
        <v>171.99199999999999</v>
      </c>
      <c r="BI15" s="1">
        <v>803.68799999999999</v>
      </c>
      <c r="BJ15" s="1">
        <v>1255.6579999999999</v>
      </c>
      <c r="BK15" s="1">
        <v>1814.184</v>
      </c>
      <c r="BL15" s="2">
        <v>-0.44924747534383547</v>
      </c>
      <c r="BM15" s="2">
        <v>0.13289000000000001</v>
      </c>
      <c r="BN15" s="2">
        <v>0.8198399999999999</v>
      </c>
      <c r="BO15" s="2">
        <v>0.23743999999999998</v>
      </c>
      <c r="BP15" s="2">
        <v>0.13607</v>
      </c>
      <c r="BQ15" s="2">
        <v>6.9449999999999998E-2</v>
      </c>
      <c r="BR15" s="2">
        <v>0.38516</v>
      </c>
      <c r="BS15" s="2">
        <v>0.15492</v>
      </c>
      <c r="BT15" s="2">
        <v>0.19506000000000001</v>
      </c>
      <c r="BU15" s="2">
        <v>0.18257999999999999</v>
      </c>
      <c r="BV15">
        <v>1972</v>
      </c>
      <c r="BW15" s="1">
        <v>0</v>
      </c>
      <c r="BX15" s="1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">
      <c r="A16" s="2">
        <v>0.18462269699875292</v>
      </c>
      <c r="B16" s="2">
        <v>4.8878016468825954E-2</v>
      </c>
      <c r="C16" s="2">
        <v>9.1357236347589771E-2</v>
      </c>
      <c r="D16" s="2">
        <v>0.17858141278538447</v>
      </c>
      <c r="E16" s="2">
        <v>8.0751581470108524E-2</v>
      </c>
      <c r="F16" s="2">
        <v>2.2157944280556108E-2</v>
      </c>
      <c r="G16" s="2">
        <v>0.12730957805046836</v>
      </c>
      <c r="H16" s="2">
        <v>8.30346011925788E-3</v>
      </c>
      <c r="I16" s="2">
        <v>8.7155522581958092E-2</v>
      </c>
      <c r="J16" s="2">
        <v>6.5347756545795447E-3</v>
      </c>
      <c r="K16" s="2">
        <v>5.5046648854787453E-2</v>
      </c>
      <c r="L16" s="2">
        <v>0.10930112638773075</v>
      </c>
      <c r="M16" s="2">
        <v>0.17858141278538447</v>
      </c>
      <c r="N16" s="2">
        <v>5.5930199213421747E-3</v>
      </c>
      <c r="O16" s="2">
        <v>1.9656750065919497E-3</v>
      </c>
      <c r="P16" s="2">
        <v>9.3921642279312673E-3</v>
      </c>
      <c r="Q16" s="2">
        <v>1.5698720817846307E-2</v>
      </c>
      <c r="R16" s="2">
        <v>2.8302809826193921E-2</v>
      </c>
      <c r="S16" s="2">
        <v>0.23953380258529011</v>
      </c>
      <c r="T16" s="1">
        <v>17369.424999999999</v>
      </c>
      <c r="U16" s="1">
        <v>4598.4759999999997</v>
      </c>
      <c r="V16" s="1">
        <v>8594.9490000000005</v>
      </c>
      <c r="W16" s="1">
        <v>16801.057000000001</v>
      </c>
      <c r="X16" s="1">
        <v>7597.1620000000003</v>
      </c>
      <c r="Y16" s="1">
        <v>2084.634</v>
      </c>
      <c r="Z16" s="1">
        <v>11977.369000000001</v>
      </c>
      <c r="AA16" s="1">
        <v>781.19500000000005</v>
      </c>
      <c r="AB16" s="1">
        <v>8199.6489999999994</v>
      </c>
      <c r="AC16" s="1">
        <v>614.79600000000005</v>
      </c>
      <c r="AD16" s="1">
        <v>5178.8249999999998</v>
      </c>
      <c r="AE16" s="1">
        <v>10283.121999999999</v>
      </c>
      <c r="AF16" s="1">
        <v>94080.659000000014</v>
      </c>
      <c r="AG16" s="1">
        <v>94051.126000000004</v>
      </c>
      <c r="AH16" s="2">
        <v>-1.6428729489550564</v>
      </c>
      <c r="AI16" s="2">
        <v>0.21368999999999999</v>
      </c>
      <c r="AJ16" s="2">
        <v>0.13466</v>
      </c>
      <c r="AK16" s="2">
        <v>0.22097999999999998</v>
      </c>
      <c r="AL16" s="2">
        <v>0.14227000000000001</v>
      </c>
      <c r="AM16" s="2">
        <v>0.2364</v>
      </c>
      <c r="AN16" s="2">
        <v>0.31015999999999999</v>
      </c>
      <c r="AO16" s="2">
        <v>0.15622</v>
      </c>
      <c r="AP16" s="2">
        <v>0.89721999999999991</v>
      </c>
      <c r="AQ16" s="2">
        <v>0.38329999999999997</v>
      </c>
      <c r="AR16" s="2">
        <v>0.10417</v>
      </c>
      <c r="AS16" s="2">
        <v>0.11930999999999999</v>
      </c>
      <c r="AT16" s="2">
        <v>0.19486000000000001</v>
      </c>
      <c r="AU16" s="2">
        <v>0.19585999999999998</v>
      </c>
      <c r="AV16" s="1">
        <v>118923.4</v>
      </c>
      <c r="AW16" s="1">
        <f>AV16/AU16</f>
        <v>607185.74491984071</v>
      </c>
      <c r="AX16" s="1">
        <f>AV16/EXP(AH16)</f>
        <v>614834.13812413486</v>
      </c>
      <c r="AY16" s="1">
        <v>22535.498</v>
      </c>
      <c r="AZ16" s="1">
        <f t="shared" si="1"/>
        <v>134628.69944441124</v>
      </c>
      <c r="BA16" s="1">
        <f t="shared" si="2"/>
        <v>34759.749131444652</v>
      </c>
      <c r="BB16" s="1">
        <v>71515.627999999997</v>
      </c>
      <c r="BC16" s="1">
        <f t="shared" si="3"/>
        <v>342557.01489677635</v>
      </c>
      <c r="BD16" s="1">
        <f t="shared" si="4"/>
        <v>239707.78519989879</v>
      </c>
      <c r="BE16" s="1">
        <v>94051.126000000004</v>
      </c>
      <c r="BF16" s="1">
        <v>16801.057000000001</v>
      </c>
      <c r="BG16" s="1">
        <v>526.19500000000005</v>
      </c>
      <c r="BH16" s="1">
        <v>184.93199999999999</v>
      </c>
      <c r="BI16" s="1">
        <v>883.62099999999998</v>
      </c>
      <c r="BJ16" s="1">
        <v>1476.9459999999999</v>
      </c>
      <c r="BK16" s="1">
        <v>2662.7469999999998</v>
      </c>
      <c r="BL16" s="2">
        <v>-0.43336832835341499</v>
      </c>
      <c r="BM16" s="2">
        <v>0.14227000000000001</v>
      </c>
      <c r="BN16" s="2">
        <v>0.9186700000000001</v>
      </c>
      <c r="BO16" s="2">
        <v>0.24643999999999999</v>
      </c>
      <c r="BP16" s="2">
        <v>0.1477</v>
      </c>
      <c r="BQ16" s="2">
        <v>7.9649999999999999E-2</v>
      </c>
      <c r="BR16" s="2">
        <v>0.42497999999999997</v>
      </c>
      <c r="BS16" s="2">
        <v>0.16739000000000001</v>
      </c>
      <c r="BT16" s="2">
        <v>0.20876999999999998</v>
      </c>
      <c r="BU16" s="2">
        <v>0.19585999999999998</v>
      </c>
      <c r="BV16">
        <v>1973</v>
      </c>
      <c r="BW16" s="1">
        <v>1</v>
      </c>
      <c r="BX16" s="1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">
      <c r="A17" s="2">
        <v>0.18116059657724282</v>
      </c>
      <c r="B17" s="2">
        <v>4.5735544642379625E-2</v>
      </c>
      <c r="C17" s="2">
        <v>8.8412298913888868E-2</v>
      </c>
      <c r="D17" s="2">
        <v>0.17694874563129215</v>
      </c>
      <c r="E17" s="2">
        <v>8.1832013388041303E-2</v>
      </c>
      <c r="F17" s="2">
        <v>2.1519401535819056E-2</v>
      </c>
      <c r="G17" s="2">
        <v>0.12531838126774786</v>
      </c>
      <c r="H17" s="2">
        <v>8.7249286629185758E-3</v>
      </c>
      <c r="I17" s="2">
        <v>8.7814455155603405E-2</v>
      </c>
      <c r="J17" s="2">
        <v>6.3380639868173931E-3</v>
      </c>
      <c r="K17" s="2">
        <v>5.3588699926822858E-2</v>
      </c>
      <c r="L17" s="2">
        <v>0.12260687031142625</v>
      </c>
      <c r="M17" s="2">
        <v>0.17694874563129215</v>
      </c>
      <c r="N17" s="2">
        <v>6.1494605599421177E-3</v>
      </c>
      <c r="O17" s="2">
        <v>1.9269257622437871E-3</v>
      </c>
      <c r="P17" s="2">
        <v>9.5191944028692674E-3</v>
      </c>
      <c r="Q17" s="2">
        <v>1.5174350563044866E-2</v>
      </c>
      <c r="R17" s="2">
        <v>3.9587376629645565E-2</v>
      </c>
      <c r="S17" s="2">
        <v>0.24930605354903776</v>
      </c>
      <c r="T17" s="1">
        <v>20042.567999999999</v>
      </c>
      <c r="U17" s="1">
        <v>5059.9179999999997</v>
      </c>
      <c r="V17" s="1">
        <v>9781.4290000000001</v>
      </c>
      <c r="W17" s="1">
        <v>19576.593000000001</v>
      </c>
      <c r="X17" s="1">
        <v>9053.4240000000009</v>
      </c>
      <c r="Y17" s="1">
        <v>2380.7829999999999</v>
      </c>
      <c r="Z17" s="1">
        <v>13864.505999999999</v>
      </c>
      <c r="AA17" s="1">
        <v>965.27599999999995</v>
      </c>
      <c r="AB17" s="1">
        <v>9715.2870000000003</v>
      </c>
      <c r="AC17" s="1">
        <v>701.20699999999999</v>
      </c>
      <c r="AD17" s="1">
        <v>5928.7460000000001</v>
      </c>
      <c r="AE17" s="1">
        <v>13564.52</v>
      </c>
      <c r="AF17" s="1">
        <v>110634.25699999998</v>
      </c>
      <c r="AG17" s="1">
        <v>110624.375</v>
      </c>
      <c r="AH17" s="2">
        <v>-1.5048809466692563</v>
      </c>
      <c r="AI17" s="2">
        <v>0.24217</v>
      </c>
      <c r="AJ17" s="2">
        <v>0.14371</v>
      </c>
      <c r="AK17" s="2">
        <v>0.25129000000000001</v>
      </c>
      <c r="AL17" s="2">
        <v>0.16172</v>
      </c>
      <c r="AM17" s="2">
        <v>0.27188000000000001</v>
      </c>
      <c r="AN17" s="2">
        <v>0.33657999999999999</v>
      </c>
      <c r="AO17" s="2">
        <v>0.18812000000000001</v>
      </c>
      <c r="AP17" s="2">
        <v>0.98931999999999998</v>
      </c>
      <c r="AQ17" s="2">
        <v>0.43522</v>
      </c>
      <c r="AR17" s="2">
        <v>0.11501</v>
      </c>
      <c r="AS17" s="2">
        <v>0.13573000000000002</v>
      </c>
      <c r="AT17" s="2">
        <v>0.22755</v>
      </c>
      <c r="AU17" s="2">
        <v>0.22402999999999998</v>
      </c>
      <c r="AV17" s="1">
        <v>140846.39999999999</v>
      </c>
      <c r="AW17" s="1">
        <f>AV17/AU17</f>
        <v>628694.37128955952</v>
      </c>
      <c r="AX17" s="1">
        <f>AV17/EXP(AH17)</f>
        <v>634318.30167100264</v>
      </c>
      <c r="AY17" s="1">
        <v>27581.79</v>
      </c>
      <c r="AZ17" s="1">
        <f t="shared" si="1"/>
        <v>144793.89994225421</v>
      </c>
      <c r="BA17" s="1">
        <f t="shared" si="2"/>
        <v>41415.634966424193</v>
      </c>
      <c r="BB17" s="1">
        <v>83042.585000000006</v>
      </c>
      <c r="BC17" s="1">
        <f t="shared" si="3"/>
        <v>347167.99749163882</v>
      </c>
      <c r="BD17" s="1">
        <f t="shared" si="4"/>
        <v>249069.45711640036</v>
      </c>
      <c r="BE17" s="1">
        <v>110624.375</v>
      </c>
      <c r="BF17" s="1">
        <v>19576.593000000001</v>
      </c>
      <c r="BG17" s="1">
        <v>680.34100000000001</v>
      </c>
      <c r="BH17" s="1">
        <v>213.184</v>
      </c>
      <c r="BI17" s="1">
        <v>1053.1489999999999</v>
      </c>
      <c r="BJ17" s="1">
        <v>1678.8030000000001</v>
      </c>
      <c r="BK17" s="1">
        <v>4379.72</v>
      </c>
      <c r="BL17" s="2">
        <v>-0.40650269336886014</v>
      </c>
      <c r="BM17" s="2">
        <v>0.16172</v>
      </c>
      <c r="BN17" s="2">
        <v>0.9926600000000001</v>
      </c>
      <c r="BO17" s="2">
        <v>0.26734999999999998</v>
      </c>
      <c r="BP17" s="2">
        <v>0.16733000000000001</v>
      </c>
      <c r="BQ17" s="2">
        <v>0.09</v>
      </c>
      <c r="BR17" s="2">
        <v>0.49326000000000003</v>
      </c>
      <c r="BS17" s="2">
        <v>0.19048999999999999</v>
      </c>
      <c r="BT17" s="2">
        <v>0.23920000000000002</v>
      </c>
      <c r="BU17" s="2">
        <v>0.22402999999999998</v>
      </c>
      <c r="BV17">
        <v>1974</v>
      </c>
      <c r="BW17" s="1">
        <v>1</v>
      </c>
      <c r="BX17" s="1">
        <v>1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</row>
    <row r="18" spans="1:82" x14ac:dyDescent="0.2">
      <c r="A18" s="2">
        <v>0.17989136577538545</v>
      </c>
      <c r="B18" s="2">
        <v>4.3882627794791754E-2</v>
      </c>
      <c r="C18" s="2">
        <v>8.8986269477264165E-2</v>
      </c>
      <c r="D18" s="2">
        <v>0.17840530266711285</v>
      </c>
      <c r="E18" s="2">
        <v>7.9883118952991689E-2</v>
      </c>
      <c r="F18" s="2">
        <v>2.2818616260987561E-2</v>
      </c>
      <c r="G18" s="2">
        <v>0.12936215630831907</v>
      </c>
      <c r="H18" s="2">
        <v>1.1215059348547067E-2</v>
      </c>
      <c r="I18" s="2">
        <v>8.9819936705042847E-2</v>
      </c>
      <c r="J18" s="2">
        <v>5.8171926324365065E-3</v>
      </c>
      <c r="K18" s="2">
        <v>5.5177242389587829E-2</v>
      </c>
      <c r="L18" s="2">
        <v>0.11474111168753322</v>
      </c>
      <c r="M18" s="2">
        <v>0.17840530266711285</v>
      </c>
      <c r="N18" s="2">
        <v>8.0508591617355057E-3</v>
      </c>
      <c r="O18" s="2">
        <v>1.8992217666582638E-3</v>
      </c>
      <c r="P18" s="2">
        <v>9.7990902619870222E-3</v>
      </c>
      <c r="Q18" s="2">
        <v>1.5609956891105115E-2</v>
      </c>
      <c r="R18" s="2">
        <v>3.006947808964542E-2</v>
      </c>
      <c r="S18" s="2">
        <v>0.24383391677551308</v>
      </c>
      <c r="T18" s="1">
        <v>22664.138999999999</v>
      </c>
      <c r="U18" s="1">
        <v>5528.6809999999996</v>
      </c>
      <c r="V18" s="1">
        <v>11211.195</v>
      </c>
      <c r="W18" s="1">
        <v>22476.913</v>
      </c>
      <c r="X18" s="1">
        <v>10064.308000000001</v>
      </c>
      <c r="Y18" s="1">
        <v>2874.87</v>
      </c>
      <c r="Z18" s="1">
        <v>16298.069</v>
      </c>
      <c r="AA18" s="1">
        <v>1412.962</v>
      </c>
      <c r="AB18" s="1">
        <v>11316.227000000001</v>
      </c>
      <c r="AC18" s="1">
        <v>732.89599999999996</v>
      </c>
      <c r="AD18" s="1">
        <v>6951.6660000000002</v>
      </c>
      <c r="AE18" s="1">
        <v>14455.994000000001</v>
      </c>
      <c r="AF18" s="1">
        <v>125987.92</v>
      </c>
      <c r="AG18" s="1">
        <v>125970.655</v>
      </c>
      <c r="AH18" s="2">
        <v>-1.3902553283573238</v>
      </c>
      <c r="AI18" s="2">
        <v>0.27063999999999999</v>
      </c>
      <c r="AJ18" s="2">
        <v>0.15148999999999999</v>
      </c>
      <c r="AK18" s="2">
        <v>0.28364</v>
      </c>
      <c r="AL18" s="2">
        <v>0.17859000000000003</v>
      </c>
      <c r="AM18" s="2">
        <v>0.30482999999999999</v>
      </c>
      <c r="AN18" s="2">
        <v>0.37006999999999995</v>
      </c>
      <c r="AO18" s="2">
        <v>0.21158000000000002</v>
      </c>
      <c r="AP18" s="2">
        <v>1.0770999999999999</v>
      </c>
      <c r="AQ18" s="2">
        <v>0.49134</v>
      </c>
      <c r="AR18" s="2">
        <v>0.13502</v>
      </c>
      <c r="AS18" s="2">
        <v>0.15414</v>
      </c>
      <c r="AT18" s="2">
        <v>0.25555</v>
      </c>
      <c r="AU18" s="2">
        <v>0.25014999999999998</v>
      </c>
      <c r="AV18" s="1">
        <v>162035.5</v>
      </c>
      <c r="AW18" s="1">
        <f>AV18/AU18</f>
        <v>647753.34799120529</v>
      </c>
      <c r="AX18" s="1">
        <f>AV18/EXP(AH18)</f>
        <v>650714.36038159963</v>
      </c>
      <c r="AY18" s="1">
        <v>30720.128000000001</v>
      </c>
      <c r="AZ18" s="1">
        <f t="shared" si="1"/>
        <v>144974.6484190656</v>
      </c>
      <c r="BA18" s="1">
        <f t="shared" si="2"/>
        <v>44827.328899437765</v>
      </c>
      <c r="BB18" s="1">
        <v>95250.527000000002</v>
      </c>
      <c r="BC18" s="1">
        <f t="shared" si="3"/>
        <v>356196.5782880222</v>
      </c>
      <c r="BD18" s="1">
        <f t="shared" si="4"/>
        <v>262136.66150903644</v>
      </c>
      <c r="BE18" s="1">
        <v>125970.655</v>
      </c>
      <c r="BF18" s="1">
        <v>22476.913</v>
      </c>
      <c r="BG18" s="1">
        <v>1014.311</v>
      </c>
      <c r="BH18" s="1">
        <v>239.279</v>
      </c>
      <c r="BI18" s="1">
        <v>1234.567</v>
      </c>
      <c r="BJ18" s="1">
        <v>1966.6659999999999</v>
      </c>
      <c r="BK18" s="1">
        <v>3788.3910000000001</v>
      </c>
      <c r="BL18" s="2">
        <v>-0.37789989857360395</v>
      </c>
      <c r="BM18" s="2">
        <v>0.17859000000000003</v>
      </c>
      <c r="BN18" s="2">
        <v>1.0159099999999999</v>
      </c>
      <c r="BO18" s="2">
        <v>0.28470000000000001</v>
      </c>
      <c r="BP18" s="2">
        <v>0.19139</v>
      </c>
      <c r="BQ18" s="2">
        <v>0.10543</v>
      </c>
      <c r="BR18" s="2">
        <v>0.56837000000000004</v>
      </c>
      <c r="BS18" s="2">
        <v>0.21190000000000001</v>
      </c>
      <c r="BT18" s="2">
        <v>0.26740999999999998</v>
      </c>
      <c r="BU18" s="2">
        <v>0.25014999999999998</v>
      </c>
      <c r="BV18">
        <v>1975</v>
      </c>
      <c r="BW18" s="1">
        <v>1</v>
      </c>
      <c r="BX18" s="1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</row>
    <row r="19" spans="1:82" x14ac:dyDescent="0.2">
      <c r="A19" s="2">
        <v>0.17404200580303003</v>
      </c>
      <c r="B19" s="2">
        <v>4.156378888150794E-2</v>
      </c>
      <c r="C19" s="2">
        <v>8.5591195023184574E-2</v>
      </c>
      <c r="D19" s="2">
        <v>0.17998646386647038</v>
      </c>
      <c r="E19" s="2">
        <v>7.7920345971731003E-2</v>
      </c>
      <c r="F19" s="2">
        <v>2.2033635627395926E-2</v>
      </c>
      <c r="G19" s="2">
        <v>0.14054142225089328</v>
      </c>
      <c r="H19" s="2">
        <v>1.3236901221327974E-2</v>
      </c>
      <c r="I19" s="2">
        <v>9.0224488760333385E-2</v>
      </c>
      <c r="J19" s="2">
        <v>4.6549065247280799E-3</v>
      </c>
      <c r="K19" s="2">
        <v>5.5727098705442811E-2</v>
      </c>
      <c r="L19" s="2">
        <v>0.11447774736395462</v>
      </c>
      <c r="M19" s="2">
        <v>0.17998646386647038</v>
      </c>
      <c r="N19" s="2">
        <v>9.9913546100838697E-3</v>
      </c>
      <c r="O19" s="2">
        <v>1.8526041697877504E-3</v>
      </c>
      <c r="P19" s="2">
        <v>9.5591332190510508E-3</v>
      </c>
      <c r="Q19" s="2">
        <v>1.5473429589427681E-2</v>
      </c>
      <c r="R19" s="2">
        <v>3.0752172287878979E-2</v>
      </c>
      <c r="S19" s="2">
        <v>0.24761515087058919</v>
      </c>
      <c r="T19" s="1">
        <v>25325.845000000001</v>
      </c>
      <c r="U19" s="1">
        <v>6048.1840000000002</v>
      </c>
      <c r="V19" s="1">
        <v>12454.862999999999</v>
      </c>
      <c r="W19" s="1">
        <v>26190.857</v>
      </c>
      <c r="X19" s="1">
        <v>11338.634</v>
      </c>
      <c r="Y19" s="1">
        <v>3206.24</v>
      </c>
      <c r="Z19" s="1">
        <v>20450.984</v>
      </c>
      <c r="AA19" s="1">
        <v>1926.1769999999999</v>
      </c>
      <c r="AB19" s="1">
        <v>13129.08</v>
      </c>
      <c r="AC19" s="1">
        <v>677.36199999999997</v>
      </c>
      <c r="AD19" s="1">
        <v>8109.1679999999997</v>
      </c>
      <c r="AE19" s="1">
        <v>16658.310000000001</v>
      </c>
      <c r="AF19" s="1">
        <v>145515.704</v>
      </c>
      <c r="AG19" s="1">
        <v>145670.72700000001</v>
      </c>
      <c r="AH19" s="2">
        <v>-1.297227001505836</v>
      </c>
      <c r="AI19" s="2">
        <v>0.29746</v>
      </c>
      <c r="AJ19" s="2">
        <v>0.16422999999999999</v>
      </c>
      <c r="AK19" s="2">
        <v>0.30893999999999999</v>
      </c>
      <c r="AL19" s="2">
        <v>0.19902</v>
      </c>
      <c r="AM19" s="2">
        <v>0.32237000000000005</v>
      </c>
      <c r="AN19" s="2">
        <v>0.39637999999999995</v>
      </c>
      <c r="AO19" s="2">
        <v>0.23521</v>
      </c>
      <c r="AP19" s="2">
        <v>1.1834499999999999</v>
      </c>
      <c r="AQ19" s="2">
        <v>0.52949000000000002</v>
      </c>
      <c r="AR19" s="2">
        <v>0.15337999999999999</v>
      </c>
      <c r="AS19" s="2">
        <v>0.17495000000000002</v>
      </c>
      <c r="AT19" s="2">
        <v>0.27688000000000001</v>
      </c>
      <c r="AU19" s="2">
        <v>0.27426</v>
      </c>
      <c r="AV19" s="1">
        <v>181938.6</v>
      </c>
      <c r="AW19" s="1">
        <f>AV19/AU19</f>
        <v>663380.00437541015</v>
      </c>
      <c r="AX19" s="1">
        <f>AV19/EXP(AH19)</f>
        <v>665738.04612111673</v>
      </c>
      <c r="AY19" s="1">
        <v>36031.892999999996</v>
      </c>
      <c r="AZ19" s="1">
        <f t="shared" si="1"/>
        <v>152097.4799493457</v>
      </c>
      <c r="BA19" s="1">
        <f t="shared" si="2"/>
        <v>51264.935012222748</v>
      </c>
      <c r="BB19" s="1">
        <v>109638.833</v>
      </c>
      <c r="BC19" s="1">
        <f t="shared" si="3"/>
        <v>376326.05546783825</v>
      </c>
      <c r="BD19" s="1">
        <f t="shared" si="4"/>
        <v>281974.34777124837</v>
      </c>
      <c r="BE19" s="1">
        <v>145670.72700000001</v>
      </c>
      <c r="BF19" s="1">
        <v>26190.857</v>
      </c>
      <c r="BG19" s="1">
        <v>1453.8989999999999</v>
      </c>
      <c r="BH19" s="1">
        <v>269.58300000000003</v>
      </c>
      <c r="BI19" s="1">
        <v>1391.0039999999999</v>
      </c>
      <c r="BJ19" s="1">
        <v>2251.627</v>
      </c>
      <c r="BK19" s="1">
        <v>4474.924</v>
      </c>
      <c r="BL19" s="2">
        <v>-0.35260252750786736</v>
      </c>
      <c r="BM19" s="2">
        <v>0.19902</v>
      </c>
      <c r="BN19" s="2">
        <v>1.1202099999999999</v>
      </c>
      <c r="BO19" s="2">
        <v>0.31797000000000003</v>
      </c>
      <c r="BP19" s="2">
        <v>0.22123000000000001</v>
      </c>
      <c r="BQ19" s="2">
        <v>0.11694</v>
      </c>
      <c r="BR19" s="2">
        <v>0.64626000000000006</v>
      </c>
      <c r="BS19" s="2">
        <v>0.2369</v>
      </c>
      <c r="BT19" s="2">
        <v>0.29133999999999999</v>
      </c>
      <c r="BU19" s="2">
        <v>0.27426</v>
      </c>
      <c r="BV19">
        <v>1976</v>
      </c>
      <c r="BW19" s="1">
        <v>1</v>
      </c>
      <c r="BX19" s="1">
        <v>1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</row>
    <row r="20" spans="1:82" x14ac:dyDescent="0.2">
      <c r="A20" s="2">
        <v>0.17553094446118989</v>
      </c>
      <c r="B20" s="2">
        <v>4.04763382620342E-2</v>
      </c>
      <c r="C20" s="2">
        <v>8.2411662366681321E-2</v>
      </c>
      <c r="D20" s="2">
        <v>0.18266372674663497</v>
      </c>
      <c r="E20" s="2">
        <v>7.547888087049566E-2</v>
      </c>
      <c r="F20" s="2">
        <v>2.1140044879494311E-2</v>
      </c>
      <c r="G20" s="2">
        <v>0.14126178906576492</v>
      </c>
      <c r="H20" s="2">
        <v>1.494740518875675E-2</v>
      </c>
      <c r="I20" s="2">
        <v>9.0824672409151125E-2</v>
      </c>
      <c r="J20" s="2">
        <v>4.418353879520648E-3</v>
      </c>
      <c r="K20" s="2">
        <v>5.8278513197962699E-2</v>
      </c>
      <c r="L20" s="2">
        <v>0.11256766867231359</v>
      </c>
      <c r="M20" s="2">
        <v>0.18266372674663497</v>
      </c>
      <c r="N20" s="2">
        <v>1.1548083138142031E-2</v>
      </c>
      <c r="O20" s="2">
        <v>1.7899975805221295E-3</v>
      </c>
      <c r="P20" s="2">
        <v>9.5560657325852588E-3</v>
      </c>
      <c r="Q20" s="2">
        <v>1.5817218037294713E-2</v>
      </c>
      <c r="R20" s="2">
        <v>2.8623753937540394E-2</v>
      </c>
      <c r="S20" s="2">
        <v>0.24999883905442927</v>
      </c>
      <c r="T20" s="1">
        <v>28689.542000000001</v>
      </c>
      <c r="U20" s="1">
        <v>6615.6289999999999</v>
      </c>
      <c r="V20" s="1">
        <v>13469.721</v>
      </c>
      <c r="W20" s="1">
        <v>29855.355</v>
      </c>
      <c r="X20" s="1">
        <v>12336.597</v>
      </c>
      <c r="Y20" s="1">
        <v>3455.221</v>
      </c>
      <c r="Z20" s="1">
        <v>23088.441999999999</v>
      </c>
      <c r="AA20" s="1">
        <v>2443.069</v>
      </c>
      <c r="AB20" s="1">
        <v>14844.78</v>
      </c>
      <c r="AC20" s="1">
        <v>722.15499999999997</v>
      </c>
      <c r="AD20" s="1">
        <v>9525.2939999999999</v>
      </c>
      <c r="AE20" s="1">
        <v>18398.55</v>
      </c>
      <c r="AF20" s="1">
        <v>163444.35499999998</v>
      </c>
      <c r="AG20" s="1">
        <v>163386.95499999999</v>
      </c>
      <c r="AH20" s="2">
        <v>-1.2074269561367639</v>
      </c>
      <c r="AI20" s="2">
        <v>0.33348</v>
      </c>
      <c r="AJ20" s="2">
        <v>0.17722000000000002</v>
      </c>
      <c r="AK20" s="2">
        <v>0.33472999999999997</v>
      </c>
      <c r="AL20" s="2">
        <v>0.21658999999999998</v>
      </c>
      <c r="AM20" s="2">
        <v>0.34360999999999997</v>
      </c>
      <c r="AN20" s="2">
        <v>0.42389000000000004</v>
      </c>
      <c r="AO20" s="2">
        <v>0.25822000000000001</v>
      </c>
      <c r="AP20" s="2">
        <v>1.2609900000000001</v>
      </c>
      <c r="AQ20" s="2">
        <v>0.56996000000000002</v>
      </c>
      <c r="AR20" s="2">
        <v>0.17056000000000002</v>
      </c>
      <c r="AS20" s="2">
        <v>0.19617000000000001</v>
      </c>
      <c r="AT20" s="2">
        <v>0.30238999999999999</v>
      </c>
      <c r="AU20" s="2">
        <v>0.29985000000000001</v>
      </c>
      <c r="AV20" s="1">
        <v>204453.3</v>
      </c>
      <c r="AW20" s="1">
        <f>AV20/AU20</f>
        <v>681851.92596298142</v>
      </c>
      <c r="AX20" s="1">
        <f>AV20/EXP(AH20)</f>
        <v>683869.11274987622</v>
      </c>
      <c r="AY20" s="1">
        <v>40860.898999999998</v>
      </c>
      <c r="AZ20" s="1">
        <f t="shared" si="1"/>
        <v>157886.00850077279</v>
      </c>
      <c r="BA20" s="1">
        <f t="shared" si="2"/>
        <v>57083.112658159298</v>
      </c>
      <c r="BB20" s="1">
        <v>122526.05499999999</v>
      </c>
      <c r="BC20" s="1">
        <f t="shared" si="3"/>
        <v>384564.37337183388</v>
      </c>
      <c r="BD20" s="1">
        <f t="shared" si="4"/>
        <v>293364.51839512913</v>
      </c>
      <c r="BE20" s="1">
        <v>163386.95499999999</v>
      </c>
      <c r="BF20" s="1">
        <v>29855.355</v>
      </c>
      <c r="BG20" s="1">
        <v>1887.4690000000001</v>
      </c>
      <c r="BH20" s="1">
        <v>292.565</v>
      </c>
      <c r="BI20" s="1">
        <v>1561.885</v>
      </c>
      <c r="BJ20" s="1">
        <v>2585.2350000000001</v>
      </c>
      <c r="BK20" s="1">
        <v>4678.3909999999996</v>
      </c>
      <c r="BL20" s="2">
        <v>-0.33433473151894627</v>
      </c>
      <c r="BM20" s="2">
        <v>0.21658999999999998</v>
      </c>
      <c r="BN20" s="2">
        <v>1.1801999999999999</v>
      </c>
      <c r="BO20" s="2">
        <v>0.32110999999999995</v>
      </c>
      <c r="BP20" s="2">
        <v>0.245</v>
      </c>
      <c r="BQ20" s="2">
        <v>0.13367000000000001</v>
      </c>
      <c r="BR20" s="2">
        <v>0.71721000000000001</v>
      </c>
      <c r="BS20" s="2">
        <v>0.25879999999999997</v>
      </c>
      <c r="BT20" s="2">
        <v>0.31861</v>
      </c>
      <c r="BU20" s="2">
        <v>0.29985000000000001</v>
      </c>
      <c r="BV20">
        <v>1977</v>
      </c>
      <c r="BW20" s="1">
        <v>1</v>
      </c>
      <c r="BX20" s="1">
        <v>1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</row>
    <row r="21" spans="1:82" x14ac:dyDescent="0.2">
      <c r="A21" s="2">
        <v>0.17186698727784042</v>
      </c>
      <c r="B21" s="2">
        <v>3.908245711317488E-2</v>
      </c>
      <c r="C21" s="2">
        <v>8.0058442703207042E-2</v>
      </c>
      <c r="D21" s="2">
        <v>0.18404815264379457</v>
      </c>
      <c r="E21" s="2">
        <v>7.4441215162568741E-2</v>
      </c>
      <c r="F21" s="2">
        <v>2.2302354932863328E-2</v>
      </c>
      <c r="G21" s="2">
        <v>0.14470177536166889</v>
      </c>
      <c r="H21" s="2">
        <v>1.6219339263480046E-2</v>
      </c>
      <c r="I21" s="2">
        <v>9.0309137458915931E-2</v>
      </c>
      <c r="J21" s="2">
        <v>4.6040947929639467E-3</v>
      </c>
      <c r="K21" s="2">
        <v>5.8032071998043652E-2</v>
      </c>
      <c r="L21" s="2">
        <v>0.11433397129147882</v>
      </c>
      <c r="M21" s="2">
        <v>0.18404815264379457</v>
      </c>
      <c r="N21" s="2">
        <v>1.2721641672366658E-2</v>
      </c>
      <c r="O21" s="2">
        <v>1.7881945685568063E-3</v>
      </c>
      <c r="P21" s="2">
        <v>9.372646014699431E-3</v>
      </c>
      <c r="Q21" s="2">
        <v>1.6076626196407574E-2</v>
      </c>
      <c r="R21" s="2">
        <v>2.90386318299885E-2</v>
      </c>
      <c r="S21" s="2">
        <v>0.25304588753043838</v>
      </c>
      <c r="T21" s="1">
        <v>31854.502</v>
      </c>
      <c r="U21" s="1">
        <v>7243.6959999999999</v>
      </c>
      <c r="V21" s="1">
        <v>14838.346</v>
      </c>
      <c r="W21" s="1">
        <v>34112.207000000002</v>
      </c>
      <c r="X21" s="1">
        <v>13797.227000000001</v>
      </c>
      <c r="Y21" s="1">
        <v>4133.6059999999998</v>
      </c>
      <c r="Z21" s="1">
        <v>26819.595000000001</v>
      </c>
      <c r="AA21" s="1">
        <v>3006.1559999999999</v>
      </c>
      <c r="AB21" s="1">
        <v>16738.25</v>
      </c>
      <c r="AC21" s="1">
        <v>853.34100000000001</v>
      </c>
      <c r="AD21" s="1">
        <v>10755.892</v>
      </c>
      <c r="AE21" s="1">
        <v>21191.107</v>
      </c>
      <c r="AF21" s="1">
        <v>185343.92499999996</v>
      </c>
      <c r="AG21" s="1">
        <v>184590.022</v>
      </c>
      <c r="AH21" s="2">
        <v>-1.1229844982544852</v>
      </c>
      <c r="AI21" s="2">
        <v>0.35473999999999994</v>
      </c>
      <c r="AJ21" s="2">
        <v>0.19366</v>
      </c>
      <c r="AK21" s="2">
        <v>0.36637000000000003</v>
      </c>
      <c r="AL21" s="2">
        <v>0.23396999999999998</v>
      </c>
      <c r="AM21" s="2">
        <v>0.37112000000000001</v>
      </c>
      <c r="AN21" s="2">
        <v>0.46858</v>
      </c>
      <c r="AO21" s="2">
        <v>0.28262999999999999</v>
      </c>
      <c r="AP21" s="2">
        <v>1.3716300000000001</v>
      </c>
      <c r="AQ21" s="2">
        <v>0.61634</v>
      </c>
      <c r="AR21" s="2">
        <v>0.18623999999999999</v>
      </c>
      <c r="AS21" s="2">
        <v>0.21506</v>
      </c>
      <c r="AT21" s="2">
        <v>0.33826000000000001</v>
      </c>
      <c r="AU21" s="2">
        <v>0.32594999999999996</v>
      </c>
      <c r="AV21" s="1">
        <v>235597.8</v>
      </c>
      <c r="AW21" s="1">
        <f>AV21/AU21</f>
        <v>722803.49746893696</v>
      </c>
      <c r="AX21" s="1">
        <f>AV21/EXP(AH21)</f>
        <v>724231.15198525437</v>
      </c>
      <c r="AY21" s="1">
        <v>46900.517999999996</v>
      </c>
      <c r="AZ21" s="1">
        <f t="shared" si="1"/>
        <v>166095.96628537023</v>
      </c>
      <c r="BA21" s="1">
        <f t="shared" si="2"/>
        <v>64236.969837331635</v>
      </c>
      <c r="BB21" s="1">
        <v>137689.50399999999</v>
      </c>
      <c r="BC21" s="1">
        <f t="shared" si="3"/>
        <v>398061.59005492908</v>
      </c>
      <c r="BD21" s="1">
        <f t="shared" si="4"/>
        <v>309029.11583347368</v>
      </c>
      <c r="BE21" s="1">
        <v>184590.022</v>
      </c>
      <c r="BF21" s="1">
        <v>34112.207000000002</v>
      </c>
      <c r="BG21" s="1">
        <v>2357.8789999999999</v>
      </c>
      <c r="BH21" s="1">
        <v>331.43099999999998</v>
      </c>
      <c r="BI21" s="1">
        <v>1737.163</v>
      </c>
      <c r="BJ21" s="1">
        <v>2979.7049999999999</v>
      </c>
      <c r="BK21" s="1">
        <v>5382.134</v>
      </c>
      <c r="BL21" s="2">
        <v>-0.31455017895221571</v>
      </c>
      <c r="BM21" s="2">
        <v>0.23396999999999998</v>
      </c>
      <c r="BN21" s="2">
        <v>1.2785299999999999</v>
      </c>
      <c r="BO21" s="2">
        <v>0.34868000000000005</v>
      </c>
      <c r="BP21" s="2">
        <v>0.26569999999999999</v>
      </c>
      <c r="BQ21" s="2">
        <v>0.15458</v>
      </c>
      <c r="BR21" s="2">
        <v>0.81298000000000004</v>
      </c>
      <c r="BS21" s="2">
        <v>0.28237000000000001</v>
      </c>
      <c r="BT21" s="2">
        <v>0.34590000000000004</v>
      </c>
      <c r="BU21" s="2">
        <v>0.32594999999999996</v>
      </c>
      <c r="BV21">
        <v>1978</v>
      </c>
      <c r="BW21" s="1">
        <v>1</v>
      </c>
      <c r="BX21" s="1">
        <v>1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</row>
    <row r="22" spans="1:82" x14ac:dyDescent="0.2">
      <c r="A22" s="2">
        <v>0.16632836315221919</v>
      </c>
      <c r="B22" s="2">
        <v>3.8456453819959685E-2</v>
      </c>
      <c r="C22" s="2">
        <v>7.8879425735914235E-2</v>
      </c>
      <c r="D22" s="2">
        <v>0.18527684801477498</v>
      </c>
      <c r="E22" s="2">
        <v>7.4745154601566541E-2</v>
      </c>
      <c r="F22" s="2">
        <v>2.2125355952170366E-2</v>
      </c>
      <c r="G22" s="2">
        <v>0.14630130684555115</v>
      </c>
      <c r="H22" s="2">
        <v>1.7854636309248589E-2</v>
      </c>
      <c r="I22" s="2">
        <v>9.0355581686340253E-2</v>
      </c>
      <c r="J22" s="2">
        <v>4.6702556068521283E-3</v>
      </c>
      <c r="K22" s="2">
        <v>5.640459413755157E-2</v>
      </c>
      <c r="L22" s="2">
        <v>0.11860202413785137</v>
      </c>
      <c r="M22" s="2">
        <v>0.18527684801477498</v>
      </c>
      <c r="N22" s="2">
        <v>1.4402023759220176E-2</v>
      </c>
      <c r="O22" s="2">
        <v>1.8695856858346887E-3</v>
      </c>
      <c r="P22" s="2">
        <v>8.7018536417336496E-3</v>
      </c>
      <c r="Q22" s="2">
        <v>1.6079044403445323E-2</v>
      </c>
      <c r="R22" s="2">
        <v>3.1897695095819079E-2</v>
      </c>
      <c r="S22" s="2">
        <v>0.2582270506008279</v>
      </c>
      <c r="T22" s="1">
        <v>35318.803</v>
      </c>
      <c r="U22" s="1">
        <v>8165.991</v>
      </c>
      <c r="V22" s="1">
        <v>16749.560000000001</v>
      </c>
      <c r="W22" s="1">
        <v>39342.396999999997</v>
      </c>
      <c r="X22" s="1">
        <v>15871.673000000001</v>
      </c>
      <c r="Y22" s="1">
        <v>4698.183</v>
      </c>
      <c r="Z22" s="1">
        <v>31066.181</v>
      </c>
      <c r="AA22" s="1">
        <v>3791.3220000000001</v>
      </c>
      <c r="AB22" s="1">
        <v>19186.451000000001</v>
      </c>
      <c r="AC22" s="1">
        <v>991.7</v>
      </c>
      <c r="AD22" s="1">
        <v>11977.168</v>
      </c>
      <c r="AE22" s="1">
        <v>25184.409</v>
      </c>
      <c r="AF22" s="1">
        <v>212343.83799999999</v>
      </c>
      <c r="AG22" s="1">
        <v>211776.00099999999</v>
      </c>
      <c r="AH22" s="2">
        <v>-1.0167994650541006</v>
      </c>
      <c r="AI22" s="2">
        <v>0.38435000000000002</v>
      </c>
      <c r="AJ22" s="2">
        <v>0.21337</v>
      </c>
      <c r="AK22" s="2">
        <v>0.40671000000000002</v>
      </c>
      <c r="AL22" s="2">
        <v>0.26170000000000004</v>
      </c>
      <c r="AM22" s="2">
        <v>0.40781000000000001</v>
      </c>
      <c r="AN22" s="2">
        <v>0.50554999999999994</v>
      </c>
      <c r="AO22" s="2">
        <v>0.31917000000000001</v>
      </c>
      <c r="AP22" s="2">
        <v>1.46946</v>
      </c>
      <c r="AQ22" s="2">
        <v>0.66677999999999993</v>
      </c>
      <c r="AR22" s="2">
        <v>0.20431000000000002</v>
      </c>
      <c r="AS22" s="2">
        <v>0.24068000000000001</v>
      </c>
      <c r="AT22" s="2">
        <v>0.38796999999999998</v>
      </c>
      <c r="AU22" s="2">
        <v>0.36158000000000001</v>
      </c>
      <c r="AV22" s="1">
        <v>263596.79999999999</v>
      </c>
      <c r="AW22" s="1">
        <f>AV22/AU22</f>
        <v>729013.77288566844</v>
      </c>
      <c r="AX22" s="1">
        <f>AV22/EXP(AH22)</f>
        <v>728669.39766703686</v>
      </c>
      <c r="AY22" s="1">
        <v>54832.923000000003</v>
      </c>
      <c r="AZ22" s="1">
        <f t="shared" si="1"/>
        <v>173116.50880848645</v>
      </c>
      <c r="BA22" s="1">
        <f t="shared" si="2"/>
        <v>72987.374352872299</v>
      </c>
      <c r="BB22" s="1">
        <v>156943.07800000001</v>
      </c>
      <c r="BC22" s="1">
        <f t="shared" si="3"/>
        <v>410587.79300962749</v>
      </c>
      <c r="BD22" s="1">
        <f t="shared" si="4"/>
        <v>325931.41319474764</v>
      </c>
      <c r="BE22" s="1">
        <v>211776.00099999999</v>
      </c>
      <c r="BF22" s="1">
        <v>39342.396999999997</v>
      </c>
      <c r="BG22" s="1">
        <v>3058.181</v>
      </c>
      <c r="BH22" s="1">
        <v>396.995</v>
      </c>
      <c r="BI22" s="1">
        <v>1847.7850000000001</v>
      </c>
      <c r="BJ22" s="1">
        <v>3414.2860000000001</v>
      </c>
      <c r="BK22" s="1">
        <v>6773.2790000000005</v>
      </c>
      <c r="BL22" s="2">
        <v>-0.28599567389322628</v>
      </c>
      <c r="BM22" s="2">
        <v>0.26170000000000004</v>
      </c>
      <c r="BN22" s="2">
        <v>1.36978</v>
      </c>
      <c r="BO22" s="2">
        <v>0.39466000000000001</v>
      </c>
      <c r="BP22" s="2">
        <v>0.29041</v>
      </c>
      <c r="BQ22" s="2">
        <v>0.17218</v>
      </c>
      <c r="BR22" s="2">
        <v>0.95799000000000012</v>
      </c>
      <c r="BS22" s="2">
        <v>0.31674000000000002</v>
      </c>
      <c r="BT22" s="2">
        <v>0.38223999999999997</v>
      </c>
      <c r="BU22" s="2">
        <v>0.36158000000000001</v>
      </c>
      <c r="BV22">
        <v>1979</v>
      </c>
      <c r="BW22" s="1">
        <v>1</v>
      </c>
      <c r="BX22" s="1">
        <v>1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</row>
    <row r="23" spans="1:82" x14ac:dyDescent="0.2">
      <c r="A23" s="2">
        <v>0.16134552433113544</v>
      </c>
      <c r="B23" s="2">
        <v>3.7837551281044275E-2</v>
      </c>
      <c r="C23" s="2">
        <v>7.5797089657915595E-2</v>
      </c>
      <c r="D23" s="2">
        <v>0.19577906219147653</v>
      </c>
      <c r="E23" s="2">
        <v>7.4481986984922199E-2</v>
      </c>
      <c r="F23" s="2">
        <v>2.2134614895245569E-2</v>
      </c>
      <c r="G23" s="2">
        <v>0.14581444519570316</v>
      </c>
      <c r="H23" s="2">
        <v>1.854433399969755E-2</v>
      </c>
      <c r="I23" s="2">
        <v>8.9062361536069223E-2</v>
      </c>
      <c r="J23" s="2">
        <v>4.8262651422231566E-3</v>
      </c>
      <c r="K23" s="2">
        <v>5.6532408981537913E-2</v>
      </c>
      <c r="L23" s="2">
        <v>0.1178443558030295</v>
      </c>
      <c r="M23" s="2">
        <v>0.19577906219147653</v>
      </c>
      <c r="N23" s="2">
        <v>1.5042345039056647E-2</v>
      </c>
      <c r="O23" s="2">
        <v>1.8866081443988908E-3</v>
      </c>
      <c r="P23" s="2">
        <v>8.7938857668472762E-3</v>
      </c>
      <c r="Q23" s="2">
        <v>1.7144444247993326E-2</v>
      </c>
      <c r="R23" s="2">
        <v>3.0846301088719406E-2</v>
      </c>
      <c r="S23" s="2">
        <v>0.26949264647849208</v>
      </c>
      <c r="T23" s="1">
        <v>39221.690999999999</v>
      </c>
      <c r="U23" s="1">
        <v>9197.9789999999994</v>
      </c>
      <c r="V23" s="1">
        <v>18425.612000000001</v>
      </c>
      <c r="W23" s="1">
        <v>47592.184000000001</v>
      </c>
      <c r="X23" s="1">
        <v>18105.921999999999</v>
      </c>
      <c r="Y23" s="1">
        <v>5380.732</v>
      </c>
      <c r="Z23" s="1">
        <v>35446.220999999998</v>
      </c>
      <c r="AA23" s="1">
        <v>4507.9660000000003</v>
      </c>
      <c r="AB23" s="1">
        <v>21650.284</v>
      </c>
      <c r="AC23" s="1">
        <v>1173.223</v>
      </c>
      <c r="AD23" s="1">
        <v>13742.536</v>
      </c>
      <c r="AE23" s="1">
        <v>28646.936000000002</v>
      </c>
      <c r="AF23" s="1">
        <v>243091.28599999996</v>
      </c>
      <c r="AG23" s="1">
        <v>242302.97500000001</v>
      </c>
      <c r="AH23" s="2">
        <v>-0.8972890362531073</v>
      </c>
      <c r="AI23" s="2">
        <v>0.41881000000000002</v>
      </c>
      <c r="AJ23" s="2">
        <v>0.23662</v>
      </c>
      <c r="AK23" s="2">
        <v>0.45216000000000001</v>
      </c>
      <c r="AL23" s="2">
        <v>0.30735000000000001</v>
      </c>
      <c r="AM23" s="2">
        <v>0.45843000000000006</v>
      </c>
      <c r="AN23" s="2">
        <v>0.55730999999999997</v>
      </c>
      <c r="AO23" s="2">
        <v>0.36654999999999999</v>
      </c>
      <c r="AP23" s="2">
        <v>1.51884</v>
      </c>
      <c r="AQ23" s="2">
        <v>0.73510999999999993</v>
      </c>
      <c r="AR23" s="2">
        <v>0.23189000000000001</v>
      </c>
      <c r="AS23" s="2">
        <v>0.27466000000000002</v>
      </c>
      <c r="AT23" s="2">
        <v>0.45017000000000001</v>
      </c>
      <c r="AU23" s="2">
        <v>0.40881999999999996</v>
      </c>
      <c r="AV23" s="1">
        <v>299749.59999999998</v>
      </c>
      <c r="AW23" s="1">
        <f>AV23/AU23</f>
        <v>733206.79027444846</v>
      </c>
      <c r="AX23" s="1">
        <f>AV23/EXP(AH23)</f>
        <v>735269.05666259525</v>
      </c>
      <c r="AY23" s="1">
        <v>65511.313999999998</v>
      </c>
      <c r="AZ23" s="1">
        <f t="shared" si="1"/>
        <v>179778.57848518112</v>
      </c>
      <c r="BA23" s="1">
        <f t="shared" si="2"/>
        <v>85285.125890205774</v>
      </c>
      <c r="BB23" s="1">
        <v>176791.66099999999</v>
      </c>
      <c r="BC23" s="1">
        <f t="shared" si="3"/>
        <v>411689.12511934427</v>
      </c>
      <c r="BD23" s="1">
        <f t="shared" si="4"/>
        <v>333113.68043158069</v>
      </c>
      <c r="BE23" s="1">
        <v>242302.97500000001</v>
      </c>
      <c r="BF23" s="1">
        <v>47592.184000000001</v>
      </c>
      <c r="BG23" s="1">
        <v>3656.663</v>
      </c>
      <c r="BH23" s="1">
        <v>458.61799999999999</v>
      </c>
      <c r="BI23" s="1">
        <v>2137.7170000000001</v>
      </c>
      <c r="BJ23" s="1">
        <v>4167.665</v>
      </c>
      <c r="BK23" s="1">
        <v>7498.4669999999996</v>
      </c>
      <c r="BL23" s="2">
        <v>-0.26377720465463766</v>
      </c>
      <c r="BM23" s="2">
        <v>0.30735000000000001</v>
      </c>
      <c r="BN23" s="2">
        <v>1.3965299999999998</v>
      </c>
      <c r="BO23" s="2">
        <v>0.42459000000000002</v>
      </c>
      <c r="BP23" s="2">
        <v>0.32685000000000003</v>
      </c>
      <c r="BQ23" s="2">
        <v>0.20748</v>
      </c>
      <c r="BR23" s="2">
        <v>1.01918</v>
      </c>
      <c r="BS23" s="2">
        <v>0.3644</v>
      </c>
      <c r="BT23" s="2">
        <v>0.42942999999999998</v>
      </c>
      <c r="BU23" s="2">
        <v>0.40881999999999996</v>
      </c>
      <c r="BV23">
        <v>1980</v>
      </c>
      <c r="BW23" s="1">
        <v>1</v>
      </c>
      <c r="BX23" s="1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</row>
    <row r="24" spans="1:82" x14ac:dyDescent="0.2">
      <c r="A24" s="2">
        <v>0.16019035583418814</v>
      </c>
      <c r="B24" s="2">
        <v>3.7368553412090104E-2</v>
      </c>
      <c r="C24" s="2">
        <v>7.3960260430590313E-2</v>
      </c>
      <c r="D24" s="2">
        <v>0.19627648470023237</v>
      </c>
      <c r="E24" s="2">
        <v>7.2586870555999841E-2</v>
      </c>
      <c r="F24" s="2">
        <v>2.2863409419608152E-2</v>
      </c>
      <c r="G24" s="2">
        <v>0.14627816930916887</v>
      </c>
      <c r="H24" s="2">
        <v>1.9009532398761575E-2</v>
      </c>
      <c r="I24" s="2">
        <v>8.7534807254793262E-2</v>
      </c>
      <c r="J24" s="2">
        <v>4.8557182202255854E-3</v>
      </c>
      <c r="K24" s="2">
        <v>5.7012106509648788E-2</v>
      </c>
      <c r="L24" s="2">
        <v>0.12206373195469297</v>
      </c>
      <c r="M24" s="2">
        <v>0.19627648470023237</v>
      </c>
      <c r="N24" s="2">
        <v>1.5371079188206146E-2</v>
      </c>
      <c r="O24" s="2">
        <v>1.8122944750442245E-3</v>
      </c>
      <c r="P24" s="2">
        <v>8.6332582888623832E-3</v>
      </c>
      <c r="Q24" s="2">
        <v>1.6496408619880928E-2</v>
      </c>
      <c r="R24" s="2">
        <v>3.6830331518955019E-2</v>
      </c>
      <c r="S24" s="2">
        <v>0.27541985679118108</v>
      </c>
      <c r="T24" s="1">
        <v>45072.911</v>
      </c>
      <c r="U24" s="1">
        <v>10514.424999999999</v>
      </c>
      <c r="V24" s="1">
        <v>20810.268</v>
      </c>
      <c r="W24" s="1">
        <v>55226.499000000003</v>
      </c>
      <c r="X24" s="1">
        <v>20423.835999999999</v>
      </c>
      <c r="Y24" s="1">
        <v>6433.0990000000002</v>
      </c>
      <c r="Z24" s="1">
        <v>41158.425999999999</v>
      </c>
      <c r="AA24" s="1">
        <v>5348.73</v>
      </c>
      <c r="AB24" s="1">
        <v>24629.751</v>
      </c>
      <c r="AC24" s="1">
        <v>1366.258</v>
      </c>
      <c r="AD24" s="1">
        <v>16041.55</v>
      </c>
      <c r="AE24" s="1">
        <v>34345.186999999998</v>
      </c>
      <c r="AF24" s="1">
        <v>281370.94</v>
      </c>
      <c r="AG24" s="1">
        <v>281002.864</v>
      </c>
      <c r="AH24" s="2">
        <v>-0.76928223287912667</v>
      </c>
      <c r="AI24" s="2">
        <v>0.47397</v>
      </c>
      <c r="AJ24" s="2">
        <v>0.27129999999999999</v>
      </c>
      <c r="AK24" s="2">
        <v>0.49469999999999997</v>
      </c>
      <c r="AL24" s="2">
        <v>0.35338999999999998</v>
      </c>
      <c r="AM24" s="2">
        <v>0.51277000000000006</v>
      </c>
      <c r="AN24" s="2">
        <v>0.61511000000000005</v>
      </c>
      <c r="AO24" s="2">
        <v>0.41500999999999999</v>
      </c>
      <c r="AP24" s="2">
        <v>1.5597099999999999</v>
      </c>
      <c r="AQ24" s="2">
        <v>0.81346999999999992</v>
      </c>
      <c r="AR24" s="2">
        <v>0.26325999999999999</v>
      </c>
      <c r="AS24" s="2">
        <v>0.32014000000000004</v>
      </c>
      <c r="AT24" s="2">
        <v>0.53900000000000003</v>
      </c>
      <c r="AU24" s="2">
        <v>0.46456999999999998</v>
      </c>
      <c r="AV24" s="1">
        <v>346513.1</v>
      </c>
      <c r="AW24" s="1">
        <f>AV24/AU24</f>
        <v>745879.2001205415</v>
      </c>
      <c r="AX24" s="1">
        <f>AV24/EXP(AH24)</f>
        <v>747850.32481144473</v>
      </c>
      <c r="AY24" s="1">
        <v>77495.144</v>
      </c>
      <c r="AZ24" s="1">
        <f t="shared" si="1"/>
        <v>183359.70092750332</v>
      </c>
      <c r="BA24" s="1">
        <f t="shared" si="2"/>
        <v>96707.795813202858</v>
      </c>
      <c r="BB24" s="1">
        <v>203507.72</v>
      </c>
      <c r="BC24" s="1">
        <f t="shared" si="3"/>
        <v>420236.0666570302</v>
      </c>
      <c r="BD24" s="1">
        <f t="shared" si="4"/>
        <v>351956.44485618244</v>
      </c>
      <c r="BE24" s="1">
        <v>281002.864</v>
      </c>
      <c r="BF24" s="1">
        <v>55226.499000000003</v>
      </c>
      <c r="BG24" s="1">
        <v>4324.9750000000004</v>
      </c>
      <c r="BH24" s="1">
        <v>509.92700000000002</v>
      </c>
      <c r="BI24" s="1">
        <v>2429.1480000000001</v>
      </c>
      <c r="BJ24" s="1">
        <v>4641.6099999999997</v>
      </c>
      <c r="BK24" s="1">
        <v>10362.985000000001</v>
      </c>
      <c r="BL24" s="2">
        <v>-0.2214787414220418</v>
      </c>
      <c r="BM24" s="2">
        <v>0.35338999999999998</v>
      </c>
      <c r="BN24" s="2">
        <v>1.41076</v>
      </c>
      <c r="BO24" s="2">
        <v>0.45002999999999999</v>
      </c>
      <c r="BP24" s="2">
        <v>0.37276999999999999</v>
      </c>
      <c r="BQ24" s="2">
        <v>0.23064000000000001</v>
      </c>
      <c r="BR24" s="2">
        <v>1.3687100000000001</v>
      </c>
      <c r="BS24" s="2">
        <v>0.42264000000000002</v>
      </c>
      <c r="BT24" s="2">
        <v>0.48426999999999998</v>
      </c>
      <c r="BU24" s="2">
        <v>0.46456999999999998</v>
      </c>
      <c r="BV24">
        <v>1981</v>
      </c>
      <c r="BW24" s="1">
        <v>1</v>
      </c>
      <c r="BX24" s="1">
        <v>1</v>
      </c>
      <c r="BY24">
        <v>0</v>
      </c>
      <c r="BZ24">
        <v>1</v>
      </c>
      <c r="CA24">
        <v>1</v>
      </c>
      <c r="CB24">
        <v>0</v>
      </c>
      <c r="CC24">
        <v>0</v>
      </c>
      <c r="CD24">
        <v>0</v>
      </c>
    </row>
    <row r="25" spans="1:82" x14ac:dyDescent="0.2">
      <c r="A25" s="2">
        <v>0.1581127348685625</v>
      </c>
      <c r="B25" s="2">
        <v>3.7528917599756871E-2</v>
      </c>
      <c r="C25" s="2">
        <v>7.3039773297534874E-2</v>
      </c>
      <c r="D25" s="2">
        <v>0.19224578745914936</v>
      </c>
      <c r="E25" s="2">
        <v>7.1931964172771909E-2</v>
      </c>
      <c r="F25" s="2">
        <v>2.3351371188841844E-2</v>
      </c>
      <c r="G25" s="2">
        <v>0.15215731657574741</v>
      </c>
      <c r="H25" s="2">
        <v>1.9080314681187045E-2</v>
      </c>
      <c r="I25" s="2">
        <v>8.8760683133044749E-2</v>
      </c>
      <c r="J25" s="2">
        <v>4.6877489217434683E-3</v>
      </c>
      <c r="K25" s="2">
        <v>5.696898239905053E-2</v>
      </c>
      <c r="L25" s="2">
        <v>0.12213440570260936</v>
      </c>
      <c r="M25" s="2">
        <v>0.19224578745914936</v>
      </c>
      <c r="N25" s="2">
        <v>1.5267864864448479E-2</v>
      </c>
      <c r="O25" s="2">
        <v>1.8706563417575208E-3</v>
      </c>
      <c r="P25" s="2">
        <v>8.4473977562890684E-3</v>
      </c>
      <c r="Q25" s="2">
        <v>1.6649664785244548E-2</v>
      </c>
      <c r="R25" s="2">
        <v>3.8518417967342289E-2</v>
      </c>
      <c r="S25" s="2">
        <v>0.27299978917423123</v>
      </c>
      <c r="T25" s="1">
        <v>51427.606</v>
      </c>
      <c r="U25" s="1">
        <v>12206.621999999999</v>
      </c>
      <c r="V25" s="1">
        <v>23756.850999999999</v>
      </c>
      <c r="W25" s="1">
        <v>62529.692000000003</v>
      </c>
      <c r="X25" s="1">
        <v>23396.526000000002</v>
      </c>
      <c r="Y25" s="1">
        <v>7595.2460000000001</v>
      </c>
      <c r="Z25" s="1">
        <v>49490.552000000003</v>
      </c>
      <c r="AA25" s="1">
        <v>6206.0460000000003</v>
      </c>
      <c r="AB25" s="1">
        <v>28870.22</v>
      </c>
      <c r="AC25" s="1">
        <v>1524.7329999999999</v>
      </c>
      <c r="AD25" s="1">
        <v>18529.68</v>
      </c>
      <c r="AE25" s="1">
        <v>39725.326999999997</v>
      </c>
      <c r="AF25" s="1">
        <v>325259.10100000002</v>
      </c>
      <c r="AG25" s="1">
        <v>324504.06699999998</v>
      </c>
      <c r="AH25" s="2">
        <v>-0.65649138755478342</v>
      </c>
      <c r="AI25" s="2">
        <v>0.52871000000000001</v>
      </c>
      <c r="AJ25" s="2">
        <v>0.31132000000000004</v>
      </c>
      <c r="AK25" s="2">
        <v>0.54583999999999999</v>
      </c>
      <c r="AL25" s="2">
        <v>0.39524000000000004</v>
      </c>
      <c r="AM25" s="2">
        <v>0.57164999999999999</v>
      </c>
      <c r="AN25" s="2">
        <v>0.66626999999999992</v>
      </c>
      <c r="AO25" s="2">
        <v>0.46542</v>
      </c>
      <c r="AP25" s="2">
        <v>1.6692199999999999</v>
      </c>
      <c r="AQ25" s="2">
        <v>0.90061000000000002</v>
      </c>
      <c r="AR25" s="2">
        <v>0.30281999999999998</v>
      </c>
      <c r="AS25" s="2">
        <v>0.36310000000000003</v>
      </c>
      <c r="AT25" s="2">
        <v>0.61012999999999995</v>
      </c>
      <c r="AU25" s="2">
        <v>0.51937</v>
      </c>
      <c r="AV25" s="1">
        <v>395889.7</v>
      </c>
      <c r="AW25" s="1">
        <f>AV25/AU25</f>
        <v>762249.84115370549</v>
      </c>
      <c r="AX25" s="1">
        <f>AV25/EXP(AH25)</f>
        <v>763281.59389361716</v>
      </c>
      <c r="AY25" s="1">
        <v>88795.665999999997</v>
      </c>
      <c r="AZ25" s="1">
        <f t="shared" si="1"/>
        <v>186592.55694712952</v>
      </c>
      <c r="BA25" s="1">
        <f t="shared" si="2"/>
        <v>106774.78992933429</v>
      </c>
      <c r="BB25" s="1">
        <v>235708.40100000001</v>
      </c>
      <c r="BC25" s="1">
        <f t="shared" si="3"/>
        <v>436545.54394932772</v>
      </c>
      <c r="BD25" s="1">
        <f t="shared" si="4"/>
        <v>377927.67178145959</v>
      </c>
      <c r="BE25" s="1">
        <v>324504.06699999998</v>
      </c>
      <c r="BF25" s="1">
        <v>62529.692000000003</v>
      </c>
      <c r="BG25" s="1">
        <v>4966.0119999999997</v>
      </c>
      <c r="BH25" s="1">
        <v>608.44799999999998</v>
      </c>
      <c r="BI25" s="1">
        <v>2747.5929999999998</v>
      </c>
      <c r="BJ25" s="1">
        <v>5415.4549999999999</v>
      </c>
      <c r="BK25" s="1">
        <v>12528.466</v>
      </c>
      <c r="BL25" s="2">
        <v>-0.18438400681050751</v>
      </c>
      <c r="BM25" s="2">
        <v>0.39524000000000004</v>
      </c>
      <c r="BN25" s="2">
        <v>1.4800599999999999</v>
      </c>
      <c r="BO25" s="2">
        <v>0.52917000000000003</v>
      </c>
      <c r="BP25" s="2">
        <v>0.41911000000000004</v>
      </c>
      <c r="BQ25" s="2">
        <v>0.26357999999999998</v>
      </c>
      <c r="BR25" s="2">
        <v>1.6300899999999998</v>
      </c>
      <c r="BS25" s="2">
        <v>0.47588000000000003</v>
      </c>
      <c r="BT25" s="2">
        <v>0.53993999999999998</v>
      </c>
      <c r="BU25" s="2">
        <v>0.51937</v>
      </c>
      <c r="BV25">
        <v>1982</v>
      </c>
      <c r="BW25" s="1">
        <v>1</v>
      </c>
      <c r="BX25" s="1">
        <v>1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</row>
    <row r="26" spans="1:82" x14ac:dyDescent="0.2">
      <c r="A26" s="2">
        <v>0.1576789026752678</v>
      </c>
      <c r="B26" s="2">
        <v>3.7286003620363495E-2</v>
      </c>
      <c r="C26" s="2">
        <v>7.2698787029470982E-2</v>
      </c>
      <c r="D26" s="2">
        <v>0.19766365900449862</v>
      </c>
      <c r="E26" s="2">
        <v>6.8474683090670507E-2</v>
      </c>
      <c r="F26" s="2">
        <v>2.4514824623960822E-2</v>
      </c>
      <c r="G26" s="2">
        <v>0.14998807677832862</v>
      </c>
      <c r="H26" s="2">
        <v>1.9399346964852428E-2</v>
      </c>
      <c r="I26" s="2">
        <v>8.6449137283983762E-2</v>
      </c>
      <c r="J26" s="2">
        <v>5.0732588809843148E-3</v>
      </c>
      <c r="K26" s="2">
        <v>5.6881879011244821E-2</v>
      </c>
      <c r="L26" s="2">
        <v>0.12389144103637403</v>
      </c>
      <c r="M26" s="2">
        <v>0.19766365900449862</v>
      </c>
      <c r="N26" s="2">
        <v>1.5628932020492807E-2</v>
      </c>
      <c r="O26" s="2">
        <v>1.8622004697731044E-3</v>
      </c>
      <c r="P26" s="2">
        <v>8.6400123691677388E-3</v>
      </c>
      <c r="Q26" s="2">
        <v>1.705179272397991E-2</v>
      </c>
      <c r="R26" s="2">
        <v>4.0564294929799481E-2</v>
      </c>
      <c r="S26" s="2">
        <v>0.28141089151771165</v>
      </c>
      <c r="T26" s="1">
        <v>56877.345000000001</v>
      </c>
      <c r="U26" s="1">
        <v>13449.668</v>
      </c>
      <c r="V26" s="1">
        <v>26223.634999999998</v>
      </c>
      <c r="W26" s="1">
        <v>71300.497000000003</v>
      </c>
      <c r="X26" s="1">
        <v>24699.932000000001</v>
      </c>
      <c r="Y26" s="1">
        <v>8842.8960000000006</v>
      </c>
      <c r="Z26" s="1">
        <v>54103.139000000003</v>
      </c>
      <c r="AA26" s="1">
        <v>6997.66</v>
      </c>
      <c r="AB26" s="1">
        <v>31183.61</v>
      </c>
      <c r="AC26" s="1">
        <v>1830.0070000000001</v>
      </c>
      <c r="AD26" s="1">
        <v>20518.219000000001</v>
      </c>
      <c r="AE26" s="1">
        <v>44689.658000000003</v>
      </c>
      <c r="AF26" s="1">
        <v>360716.26599999995</v>
      </c>
      <c r="AG26" s="1">
        <v>358620.98599999998</v>
      </c>
      <c r="AH26" s="2">
        <v>-0.56712022900580905</v>
      </c>
      <c r="AI26" s="2">
        <v>0.57833000000000001</v>
      </c>
      <c r="AJ26" s="2">
        <v>0.34131999999999996</v>
      </c>
      <c r="AK26" s="2">
        <v>0.60110999999999992</v>
      </c>
      <c r="AL26" s="2">
        <v>0.43414000000000003</v>
      </c>
      <c r="AM26" s="2">
        <v>0.62304999999999999</v>
      </c>
      <c r="AN26" s="2">
        <v>0.71967000000000003</v>
      </c>
      <c r="AO26" s="2">
        <v>0.50588</v>
      </c>
      <c r="AP26" s="2">
        <v>1.76431</v>
      </c>
      <c r="AQ26" s="2">
        <v>0.97010999999999992</v>
      </c>
      <c r="AR26" s="2">
        <v>0.33613999999999999</v>
      </c>
      <c r="AS26" s="2">
        <v>0.40581</v>
      </c>
      <c r="AT26" s="2">
        <v>0.68070999999999993</v>
      </c>
      <c r="AU26" s="2">
        <v>0.56901000000000002</v>
      </c>
      <c r="AV26" s="1">
        <v>433335.4</v>
      </c>
      <c r="AW26" s="1">
        <f>AV26/AU26</f>
        <v>761560.25377409894</v>
      </c>
      <c r="AX26" s="1">
        <f>AV26/EXP(AH26)</f>
        <v>764049.25196138362</v>
      </c>
      <c r="AY26" s="1">
        <v>101509.486</v>
      </c>
      <c r="AZ26" s="1">
        <f t="shared" si="1"/>
        <v>193064.56312526151</v>
      </c>
      <c r="BA26" s="1">
        <f t="shared" si="2"/>
        <v>119221.02786104372</v>
      </c>
      <c r="BB26" s="1">
        <v>257111.5</v>
      </c>
      <c r="BC26" s="1">
        <f t="shared" si="3"/>
        <v>436077.84938941651</v>
      </c>
      <c r="BD26" s="1">
        <f t="shared" si="4"/>
        <v>385986.80189333059</v>
      </c>
      <c r="BE26" s="1">
        <v>358620.98599999998</v>
      </c>
      <c r="BF26" s="1">
        <v>71300.497000000003</v>
      </c>
      <c r="BG26" s="1">
        <v>5637.61</v>
      </c>
      <c r="BH26" s="1">
        <v>671.726</v>
      </c>
      <c r="BI26" s="1">
        <v>3116.5929999999998</v>
      </c>
      <c r="BJ26" s="1">
        <v>6150.8590000000004</v>
      </c>
      <c r="BK26" s="1">
        <v>14632.200999999999</v>
      </c>
      <c r="BL26" s="2">
        <v>-0.16082689506039771</v>
      </c>
      <c r="BM26" s="2">
        <v>0.43414000000000003</v>
      </c>
      <c r="BN26" s="2">
        <v>1.5434800000000002</v>
      </c>
      <c r="BO26" s="2">
        <v>0.54657</v>
      </c>
      <c r="BP26" s="2">
        <v>0.46898000000000001</v>
      </c>
      <c r="BQ26" s="2">
        <v>0.30782999999999999</v>
      </c>
      <c r="BR26" s="2">
        <v>1.8555199999999998</v>
      </c>
      <c r="BS26" s="2">
        <v>0.52578000000000003</v>
      </c>
      <c r="BT26" s="2">
        <v>0.58960000000000001</v>
      </c>
      <c r="BU26" s="2">
        <v>0.56901000000000002</v>
      </c>
      <c r="BV26">
        <v>1983</v>
      </c>
      <c r="BW26" s="1">
        <v>1</v>
      </c>
      <c r="BX26" s="1">
        <v>1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</row>
    <row r="27" spans="1:82" x14ac:dyDescent="0.2">
      <c r="A27" s="2">
        <v>0.15986481057407087</v>
      </c>
      <c r="B27" s="2">
        <v>3.605868476827731E-2</v>
      </c>
      <c r="C27" s="2">
        <v>7.1892776097462252E-2</v>
      </c>
      <c r="D27" s="2">
        <v>0.20388358091610143</v>
      </c>
      <c r="E27" s="2">
        <v>6.5434322573357309E-2</v>
      </c>
      <c r="F27" s="2">
        <v>2.5553990632681114E-2</v>
      </c>
      <c r="G27" s="2">
        <v>0.14419208043223816</v>
      </c>
      <c r="H27" s="2">
        <v>2.0699497929500734E-2</v>
      </c>
      <c r="I27" s="2">
        <v>8.5601420489435323E-2</v>
      </c>
      <c r="J27" s="2">
        <v>5.2764224777391419E-3</v>
      </c>
      <c r="K27" s="2">
        <v>5.6111208595590295E-2</v>
      </c>
      <c r="L27" s="2">
        <v>0.12543120451354609</v>
      </c>
      <c r="M27" s="2">
        <v>0.20388358091610143</v>
      </c>
      <c r="N27" s="2">
        <v>1.6998143742842607E-2</v>
      </c>
      <c r="O27" s="2">
        <v>1.8703544294934474E-3</v>
      </c>
      <c r="P27" s="2">
        <v>8.5033527651262996E-3</v>
      </c>
      <c r="Q27" s="2">
        <v>1.8398473620538171E-2</v>
      </c>
      <c r="R27" s="2">
        <v>4.2600924591014229E-2</v>
      </c>
      <c r="S27" s="2">
        <v>0.29225483515990192</v>
      </c>
      <c r="T27" s="1">
        <v>62756.245000000003</v>
      </c>
      <c r="U27" s="1">
        <v>14155.133</v>
      </c>
      <c r="V27" s="1">
        <v>28222.1</v>
      </c>
      <c r="W27" s="1">
        <v>80036.175000000003</v>
      </c>
      <c r="X27" s="1">
        <v>25686.780999999999</v>
      </c>
      <c r="Y27" s="1">
        <v>10031.429</v>
      </c>
      <c r="Z27" s="1">
        <v>56603.786</v>
      </c>
      <c r="AA27" s="1">
        <v>8125.7579999999998</v>
      </c>
      <c r="AB27" s="1">
        <v>33603.540999999997</v>
      </c>
      <c r="AC27" s="1">
        <v>2071.3029999999999</v>
      </c>
      <c r="AD27" s="1">
        <v>22026.916000000001</v>
      </c>
      <c r="AE27" s="1">
        <v>49239.05</v>
      </c>
      <c r="AF27" s="1">
        <v>392558.217</v>
      </c>
      <c r="AG27" s="1">
        <v>389721.72899999999</v>
      </c>
      <c r="AH27" s="2">
        <v>-0.48994497153534455</v>
      </c>
      <c r="AI27" s="2">
        <v>0.62219000000000002</v>
      </c>
      <c r="AJ27" s="2">
        <v>0.36162999999999995</v>
      </c>
      <c r="AK27" s="2">
        <v>0.66224999999999989</v>
      </c>
      <c r="AL27" s="2">
        <v>0.46814999999999996</v>
      </c>
      <c r="AM27" s="2">
        <v>0.66780000000000006</v>
      </c>
      <c r="AN27" s="2">
        <v>0.75272000000000006</v>
      </c>
      <c r="AO27" s="2">
        <v>0.54468000000000005</v>
      </c>
      <c r="AP27" s="2">
        <v>1.9656200000000001</v>
      </c>
      <c r="AQ27" s="2">
        <v>1.0384500000000001</v>
      </c>
      <c r="AR27" s="2">
        <v>0.36237000000000003</v>
      </c>
      <c r="AS27" s="2">
        <v>0.43508999999999998</v>
      </c>
      <c r="AT27" s="2">
        <v>0.74498999999999993</v>
      </c>
      <c r="AU27" s="2">
        <v>0.61399999999999999</v>
      </c>
      <c r="AV27" s="1">
        <v>462165.4</v>
      </c>
      <c r="AW27" s="1">
        <f>AV27/AU27</f>
        <v>752712.37785016291</v>
      </c>
      <c r="AX27" s="1">
        <f>AV27/EXP(AH27)</f>
        <v>754358.56638628826</v>
      </c>
      <c r="AY27" s="1">
        <v>114727.037</v>
      </c>
      <c r="AZ27" s="1">
        <f t="shared" si="1"/>
        <v>199556.51667217477</v>
      </c>
      <c r="BA27" s="1">
        <f t="shared" si="2"/>
        <v>131891.33328148251</v>
      </c>
      <c r="BB27" s="1">
        <v>274994.69199999998</v>
      </c>
      <c r="BC27" s="1">
        <f t="shared" si="3"/>
        <v>434609.30555994564</v>
      </c>
      <c r="BD27" s="1">
        <f t="shared" si="4"/>
        <v>390439.93116077024</v>
      </c>
      <c r="BE27" s="1">
        <v>389721.72899999999</v>
      </c>
      <c r="BF27" s="1">
        <v>80036.175000000003</v>
      </c>
      <c r="BG27" s="1">
        <v>6672.7610000000004</v>
      </c>
      <c r="BH27" s="1">
        <v>734.22299999999996</v>
      </c>
      <c r="BI27" s="1">
        <v>3338.0610000000001</v>
      </c>
      <c r="BJ27" s="1">
        <v>7222.4719999999998</v>
      </c>
      <c r="BK27" s="1">
        <v>16723.343000000001</v>
      </c>
      <c r="BL27" s="2">
        <v>-0.13942263520263209</v>
      </c>
      <c r="BM27" s="2">
        <v>0.46814999999999996</v>
      </c>
      <c r="BN27" s="2">
        <v>1.7260200000000001</v>
      </c>
      <c r="BO27" s="2">
        <v>0.58203000000000005</v>
      </c>
      <c r="BP27" s="2">
        <v>0.50978000000000001</v>
      </c>
      <c r="BQ27" s="2">
        <v>0.37222</v>
      </c>
      <c r="BR27" s="2">
        <v>2.0685599999999997</v>
      </c>
      <c r="BS27" s="2">
        <v>0.57491000000000003</v>
      </c>
      <c r="BT27" s="2">
        <v>0.63273999999999997</v>
      </c>
      <c r="BU27" s="2">
        <v>0.61399999999999999</v>
      </c>
      <c r="BV27">
        <v>1984</v>
      </c>
      <c r="BW27" s="1">
        <v>1</v>
      </c>
      <c r="BX27" s="1">
        <v>1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</row>
    <row r="28" spans="1:82" x14ac:dyDescent="0.2">
      <c r="A28" s="2">
        <v>0.15757852477105996</v>
      </c>
      <c r="B28" s="2">
        <v>3.4929068667743327E-2</v>
      </c>
      <c r="C28" s="2">
        <v>7.145730618109257E-2</v>
      </c>
      <c r="D28" s="2">
        <v>0.20683074753794753</v>
      </c>
      <c r="E28" s="2">
        <v>6.372790141738878E-2</v>
      </c>
      <c r="F28" s="2">
        <v>2.669730777793072E-2</v>
      </c>
      <c r="G28" s="2">
        <v>0.14442425393165537</v>
      </c>
      <c r="H28" s="2">
        <v>2.1390217579037571E-2</v>
      </c>
      <c r="I28" s="2">
        <v>8.4102958599381494E-2</v>
      </c>
      <c r="J28" s="2">
        <v>5.5038086607271559E-3</v>
      </c>
      <c r="K28" s="2">
        <v>5.6093021994594962E-2</v>
      </c>
      <c r="L28" s="2">
        <v>0.1272648828814405</v>
      </c>
      <c r="M28" s="2">
        <v>0.20683074753794753</v>
      </c>
      <c r="N28" s="2">
        <v>1.7694955007799933E-2</v>
      </c>
      <c r="O28" s="2">
        <v>2.0956770240466685E-3</v>
      </c>
      <c r="P28" s="2">
        <v>8.372177552740924E-3</v>
      </c>
      <c r="Q28" s="2">
        <v>1.8616209230696762E-2</v>
      </c>
      <c r="R28" s="2">
        <v>4.4687852527039558E-2</v>
      </c>
      <c r="S28" s="2">
        <v>0.29829762123451758</v>
      </c>
      <c r="T28" s="1">
        <v>66933.748000000007</v>
      </c>
      <c r="U28" s="1">
        <v>14836.625</v>
      </c>
      <c r="V28" s="1">
        <v>30352.52</v>
      </c>
      <c r="W28" s="1">
        <v>87854.339000000007</v>
      </c>
      <c r="X28" s="1">
        <v>27069.344000000001</v>
      </c>
      <c r="Y28" s="1">
        <v>11340.066000000001</v>
      </c>
      <c r="Z28" s="1">
        <v>61346.281999999999</v>
      </c>
      <c r="AA28" s="1">
        <v>9085.8029999999999</v>
      </c>
      <c r="AB28" s="1">
        <v>35723.942999999999</v>
      </c>
      <c r="AC28" s="1">
        <v>2337.8220000000001</v>
      </c>
      <c r="AD28" s="1">
        <v>23826.319</v>
      </c>
      <c r="AE28" s="1">
        <v>54057.591999999997</v>
      </c>
      <c r="AF28" s="1">
        <v>424764.40300000005</v>
      </c>
      <c r="AG28" s="1">
        <v>421869.56599999999</v>
      </c>
      <c r="AH28" s="2">
        <v>-0.42970509872447937</v>
      </c>
      <c r="AI28" s="2">
        <v>0.65510999999999997</v>
      </c>
      <c r="AJ28" s="2">
        <v>0.37133000000000005</v>
      </c>
      <c r="AK28" s="2">
        <v>0.71692999999999996</v>
      </c>
      <c r="AL28" s="2">
        <v>0.49723000000000001</v>
      </c>
      <c r="AM28" s="2">
        <v>0.70358999999999994</v>
      </c>
      <c r="AN28" s="2">
        <v>0.77997000000000005</v>
      </c>
      <c r="AO28" s="2">
        <v>0.58545999999999998</v>
      </c>
      <c r="AP28" s="2">
        <v>2.10555</v>
      </c>
      <c r="AQ28" s="2">
        <v>1.09137</v>
      </c>
      <c r="AR28" s="2">
        <v>0.38249</v>
      </c>
      <c r="AS28" s="2">
        <v>0.46270000000000006</v>
      </c>
      <c r="AT28" s="2">
        <v>0.79894999999999994</v>
      </c>
      <c r="AU28" s="2">
        <v>0.65205000000000002</v>
      </c>
      <c r="AV28" s="1">
        <v>494454.5</v>
      </c>
      <c r="AW28" s="1">
        <f>AV28/AU28</f>
        <v>758307.64511923934</v>
      </c>
      <c r="AX28" s="1">
        <f>AV28/EXP(AH28)</f>
        <v>759879.77761625207</v>
      </c>
      <c r="AY28" s="1">
        <v>126706.211</v>
      </c>
      <c r="AZ28" s="1">
        <f t="shared" si="1"/>
        <v>205511.74457456122</v>
      </c>
      <c r="BA28" s="1">
        <f t="shared" si="2"/>
        <v>142734.47729013188</v>
      </c>
      <c r="BB28" s="1">
        <v>295163.35499999998</v>
      </c>
      <c r="BC28" s="1">
        <f t="shared" si="3"/>
        <v>441101.92781887465</v>
      </c>
      <c r="BD28" s="1">
        <f t="shared" si="4"/>
        <v>402670.67848547624</v>
      </c>
      <c r="BE28" s="1">
        <v>421869.56599999999</v>
      </c>
      <c r="BF28" s="1">
        <v>87854.339000000007</v>
      </c>
      <c r="BG28" s="1">
        <v>7516.1869999999999</v>
      </c>
      <c r="BH28" s="1">
        <v>890.16899999999998</v>
      </c>
      <c r="BI28" s="1">
        <v>3556.203</v>
      </c>
      <c r="BJ28" s="1">
        <v>7907.5029999999997</v>
      </c>
      <c r="BK28" s="1">
        <v>18981.809000000001</v>
      </c>
      <c r="BL28" s="2">
        <v>-0.11911499466320025</v>
      </c>
      <c r="BM28" s="2">
        <v>0.49723000000000001</v>
      </c>
      <c r="BN28" s="2">
        <v>1.85311</v>
      </c>
      <c r="BO28" s="2">
        <v>0.63667000000000007</v>
      </c>
      <c r="BP28" s="2">
        <v>0.53935</v>
      </c>
      <c r="BQ28" s="2">
        <v>0.41204999999999997</v>
      </c>
      <c r="BR28" s="2">
        <v>2.2939500000000002</v>
      </c>
      <c r="BS28" s="2">
        <v>0.61654000000000009</v>
      </c>
      <c r="BT28" s="2">
        <v>0.66915000000000002</v>
      </c>
      <c r="BU28" s="2">
        <v>0.65205000000000002</v>
      </c>
      <c r="BV28">
        <v>1985</v>
      </c>
      <c r="BW28" s="1">
        <v>1</v>
      </c>
      <c r="BX28" s="1">
        <v>1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</row>
    <row r="29" spans="1:82" x14ac:dyDescent="0.2">
      <c r="A29" s="2">
        <v>0.15550211977828077</v>
      </c>
      <c r="B29" s="2">
        <v>3.4988180745842111E-2</v>
      </c>
      <c r="C29" s="2">
        <v>7.3170177636495859E-2</v>
      </c>
      <c r="D29" s="2">
        <v>0.20228535199881043</v>
      </c>
      <c r="E29" s="2">
        <v>6.4316204556598852E-2</v>
      </c>
      <c r="F29" s="2">
        <v>2.8019537699168439E-2</v>
      </c>
      <c r="G29" s="2">
        <v>0.14348015428875682</v>
      </c>
      <c r="H29" s="2">
        <v>2.0991403596779951E-2</v>
      </c>
      <c r="I29" s="2">
        <v>8.5322880636351475E-2</v>
      </c>
      <c r="J29" s="2">
        <v>5.7203598344235766E-3</v>
      </c>
      <c r="K29" s="2">
        <v>5.6357309414453244E-2</v>
      </c>
      <c r="L29" s="2">
        <v>0.12984631981403841</v>
      </c>
      <c r="M29" s="2">
        <v>0.20228535199881043</v>
      </c>
      <c r="N29" s="2">
        <v>1.7254548340909059E-2</v>
      </c>
      <c r="O29" s="2">
        <v>2.3426485359903599E-3</v>
      </c>
      <c r="P29" s="2">
        <v>8.3142004662123334E-3</v>
      </c>
      <c r="Q29" s="2">
        <v>1.8950774121846255E-2</v>
      </c>
      <c r="R29" s="2">
        <v>4.5707838305505968E-2</v>
      </c>
      <c r="S29" s="2">
        <v>0.2948553617692744</v>
      </c>
      <c r="T29" s="1">
        <v>70122.395999999993</v>
      </c>
      <c r="U29" s="1">
        <v>15777.630999999999</v>
      </c>
      <c r="V29" s="1">
        <v>32995.487000000001</v>
      </c>
      <c r="W29" s="1">
        <v>91218.907999999996</v>
      </c>
      <c r="X29" s="1">
        <v>29002.861000000001</v>
      </c>
      <c r="Y29" s="1">
        <v>12635.179</v>
      </c>
      <c r="Z29" s="1">
        <v>64701.19</v>
      </c>
      <c r="AA29" s="1">
        <v>9465.9</v>
      </c>
      <c r="AB29" s="1">
        <v>38475.648000000001</v>
      </c>
      <c r="AC29" s="1">
        <v>2579.549</v>
      </c>
      <c r="AD29" s="1">
        <v>25413.863000000001</v>
      </c>
      <c r="AE29" s="1">
        <v>58553.125</v>
      </c>
      <c r="AF29" s="1">
        <v>450941.73700000002</v>
      </c>
      <c r="AG29" s="1">
        <v>449572.87599999999</v>
      </c>
      <c r="AH29" s="2">
        <v>-0.40071030157585574</v>
      </c>
      <c r="AI29" s="2">
        <v>0.67236000000000007</v>
      </c>
      <c r="AJ29" s="2">
        <v>0.39018000000000003</v>
      </c>
      <c r="AK29" s="2">
        <v>0.75614000000000003</v>
      </c>
      <c r="AL29" s="2">
        <v>0.50148000000000004</v>
      </c>
      <c r="AM29" s="2">
        <v>0.73185</v>
      </c>
      <c r="AN29" s="2">
        <v>0.80266000000000004</v>
      </c>
      <c r="AO29" s="2">
        <v>0.58567999999999998</v>
      </c>
      <c r="AP29" s="2">
        <v>2.1385700000000001</v>
      </c>
      <c r="AQ29" s="2">
        <v>1.1304099999999999</v>
      </c>
      <c r="AR29" s="2">
        <v>0.40518999999999999</v>
      </c>
      <c r="AS29" s="2">
        <v>0.48470999999999997</v>
      </c>
      <c r="AT29" s="2">
        <v>0.83495999999999992</v>
      </c>
      <c r="AU29" s="2">
        <v>0.66965000000000008</v>
      </c>
      <c r="AV29" s="1">
        <v>520851.3</v>
      </c>
      <c r="AW29" s="1">
        <f>AV29/AU29</f>
        <v>777796.31150601048</v>
      </c>
      <c r="AX29" s="1">
        <f>AV29/EXP(AH29)</f>
        <v>777570.94690063503</v>
      </c>
      <c r="AY29" s="1">
        <v>132962.58900000001</v>
      </c>
      <c r="AZ29" s="1">
        <f t="shared" si="1"/>
        <v>211061.77913233964</v>
      </c>
      <c r="BA29" s="1">
        <f t="shared" si="2"/>
        <v>148318.25152814787</v>
      </c>
      <c r="BB29" s="1">
        <v>316610.28700000001</v>
      </c>
      <c r="BC29" s="1">
        <f t="shared" si="3"/>
        <v>459721.63060839259</v>
      </c>
      <c r="BD29" s="1">
        <f t="shared" si="4"/>
        <v>423727.0213408175</v>
      </c>
      <c r="BE29" s="1">
        <v>449572.87599999999</v>
      </c>
      <c r="BF29" s="1">
        <v>91218.907999999996</v>
      </c>
      <c r="BG29" s="1">
        <v>7780.7960000000003</v>
      </c>
      <c r="BH29" s="1">
        <v>1056.3979999999999</v>
      </c>
      <c r="BI29" s="1">
        <v>3749.22</v>
      </c>
      <c r="BJ29" s="1">
        <v>8545.6949999999997</v>
      </c>
      <c r="BK29" s="1">
        <v>20611.572</v>
      </c>
      <c r="BL29" s="2">
        <v>-0.10929251029850864</v>
      </c>
      <c r="BM29" s="2">
        <v>0.50148000000000004</v>
      </c>
      <c r="BN29" s="2">
        <v>1.8684000000000001</v>
      </c>
      <c r="BO29" s="2">
        <v>0.64436000000000004</v>
      </c>
      <c r="BP29" s="2">
        <v>0.56362999999999996</v>
      </c>
      <c r="BQ29" s="2">
        <v>0.45049999999999996</v>
      </c>
      <c r="BR29" s="2">
        <v>2.4226700000000001</v>
      </c>
      <c r="BS29" s="2">
        <v>0.62997000000000003</v>
      </c>
      <c r="BT29" s="2">
        <v>0.68870000000000009</v>
      </c>
      <c r="BU29" s="2">
        <v>0.66965000000000008</v>
      </c>
      <c r="BV29">
        <v>1986</v>
      </c>
      <c r="BW29" s="1">
        <v>0</v>
      </c>
      <c r="BX29" s="1">
        <v>1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</row>
    <row r="30" spans="1:82" x14ac:dyDescent="0.2">
      <c r="A30" s="2">
        <v>0.15266035856542517</v>
      </c>
      <c r="B30" s="2">
        <v>3.3995169404320819E-2</v>
      </c>
      <c r="C30" s="2">
        <v>7.1604382542848025E-2</v>
      </c>
      <c r="D30" s="2">
        <v>0.2005785025028147</v>
      </c>
      <c r="E30" s="2">
        <v>6.3885873028248691E-2</v>
      </c>
      <c r="F30" s="2">
        <v>2.825667181539155E-2</v>
      </c>
      <c r="G30" s="2">
        <v>0.14715198486840589</v>
      </c>
      <c r="H30" s="2">
        <v>2.1413954870951539E-2</v>
      </c>
      <c r="I30" s="2">
        <v>8.5820643391257279E-2</v>
      </c>
      <c r="J30" s="2">
        <v>6.2435986674895449E-3</v>
      </c>
      <c r="K30" s="2">
        <v>5.6952247116249612E-2</v>
      </c>
      <c r="L30" s="2">
        <v>0.13143661322659725</v>
      </c>
      <c r="M30" s="2">
        <v>0.2005785025028147</v>
      </c>
      <c r="N30" s="2">
        <v>1.7656842757649952E-2</v>
      </c>
      <c r="O30" s="2">
        <v>2.4792910728750708E-3</v>
      </c>
      <c r="P30" s="2">
        <v>8.35495578599048E-3</v>
      </c>
      <c r="Q30" s="2">
        <v>1.9098575484659087E-2</v>
      </c>
      <c r="R30" s="2">
        <v>4.6119185935766922E-2</v>
      </c>
      <c r="S30" s="2">
        <v>0.29428735771468006</v>
      </c>
      <c r="T30" s="1">
        <v>73132.043999999994</v>
      </c>
      <c r="U30" s="1">
        <v>16285.407999999999</v>
      </c>
      <c r="V30" s="1">
        <v>34302.125999999997</v>
      </c>
      <c r="W30" s="1">
        <v>96087.262000000002</v>
      </c>
      <c r="X30" s="1">
        <v>30604.569</v>
      </c>
      <c r="Y30" s="1">
        <v>13536.377</v>
      </c>
      <c r="Z30" s="1">
        <v>70493.254000000001</v>
      </c>
      <c r="AA30" s="1">
        <v>10258.369000000001</v>
      </c>
      <c r="AB30" s="1">
        <v>41112.434999999998</v>
      </c>
      <c r="AC30" s="1">
        <v>2991</v>
      </c>
      <c r="AD30" s="1">
        <v>27283.010999999999</v>
      </c>
      <c r="AE30" s="1">
        <v>62964.794999999998</v>
      </c>
      <c r="AF30" s="1">
        <v>479050.64999999997</v>
      </c>
      <c r="AG30" s="1">
        <v>478272.73599999998</v>
      </c>
      <c r="AH30" s="2">
        <v>-0.37010746400605443</v>
      </c>
      <c r="AI30" s="2">
        <v>0.68090000000000006</v>
      </c>
      <c r="AJ30" s="2">
        <v>0.40137999999999996</v>
      </c>
      <c r="AK30" s="2">
        <v>0.79034000000000004</v>
      </c>
      <c r="AL30" s="2">
        <v>0.51527000000000001</v>
      </c>
      <c r="AM30" s="2">
        <v>0.75349999999999995</v>
      </c>
      <c r="AN30" s="2">
        <v>0.82072000000000001</v>
      </c>
      <c r="AO30" s="2">
        <v>0.60584000000000005</v>
      </c>
      <c r="AP30" s="2">
        <v>2.17374</v>
      </c>
      <c r="AQ30" s="2">
        <v>1.1571400000000001</v>
      </c>
      <c r="AR30" s="2">
        <v>0.43341000000000002</v>
      </c>
      <c r="AS30" s="2">
        <v>0.51859</v>
      </c>
      <c r="AT30" s="2">
        <v>0.86090999999999995</v>
      </c>
      <c r="AU30" s="2">
        <v>0.68972999999999995</v>
      </c>
      <c r="AV30" s="1">
        <v>543642.9</v>
      </c>
      <c r="AW30" s="1">
        <f>AV30/AU30</f>
        <v>788196.68565960601</v>
      </c>
      <c r="AX30" s="1">
        <f>AV30/EXP(AH30)</f>
        <v>787135.22850595636</v>
      </c>
      <c r="AY30" s="1">
        <v>140978.54999999999</v>
      </c>
      <c r="AZ30" s="1">
        <f t="shared" si="1"/>
        <v>217623.30004167883</v>
      </c>
      <c r="BA30" s="1">
        <f t="shared" si="2"/>
        <v>155721.78240459284</v>
      </c>
      <c r="BB30" s="1">
        <v>337294.18599999999</v>
      </c>
      <c r="BC30" s="1">
        <f t="shared" si="3"/>
        <v>475176.00834002503</v>
      </c>
      <c r="BD30" s="1">
        <f t="shared" si="4"/>
        <v>442128.14076663746</v>
      </c>
      <c r="BE30" s="1">
        <v>478272.73599999998</v>
      </c>
      <c r="BF30" s="1">
        <v>96087.262000000002</v>
      </c>
      <c r="BG30" s="1">
        <v>8458.5220000000008</v>
      </c>
      <c r="BH30" s="1">
        <v>1187.7059999999999</v>
      </c>
      <c r="BI30" s="1">
        <v>4002.4470000000001</v>
      </c>
      <c r="BJ30" s="1">
        <v>9149.1849999999995</v>
      </c>
      <c r="BK30" s="1">
        <v>22093.425999999999</v>
      </c>
      <c r="BL30" s="2">
        <v>-9.9463217745695151E-2</v>
      </c>
      <c r="BM30" s="2">
        <v>0.51527000000000001</v>
      </c>
      <c r="BN30" s="2">
        <v>1.8982300000000001</v>
      </c>
      <c r="BO30" s="2">
        <v>0.61721999999999999</v>
      </c>
      <c r="BP30" s="2">
        <v>0.58694999999999997</v>
      </c>
      <c r="BQ30" s="2">
        <v>0.47726999999999997</v>
      </c>
      <c r="BR30" s="2">
        <v>2.4855499999999999</v>
      </c>
      <c r="BS30" s="2">
        <v>0.64781000000000011</v>
      </c>
      <c r="BT30" s="2">
        <v>0.70983000000000007</v>
      </c>
      <c r="BU30" s="2">
        <v>0.68972999999999995</v>
      </c>
      <c r="BV30">
        <v>1987</v>
      </c>
      <c r="BW30" s="1">
        <v>0</v>
      </c>
      <c r="BX30" s="1">
        <v>1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</row>
    <row r="31" spans="1:82" x14ac:dyDescent="0.2">
      <c r="A31" s="2">
        <v>0.14967454276186173</v>
      </c>
      <c r="B31" s="2">
        <v>3.3685549333127902E-2</v>
      </c>
      <c r="C31" s="2">
        <v>6.8901750614194374E-2</v>
      </c>
      <c r="D31" s="2">
        <v>0.20077226718570954</v>
      </c>
      <c r="E31" s="2">
        <v>6.393050916583834E-2</v>
      </c>
      <c r="F31" s="2">
        <v>2.9717535517746613E-2</v>
      </c>
      <c r="G31" s="2">
        <v>0.14783946716038737</v>
      </c>
      <c r="H31" s="2">
        <v>2.0689989409523823E-2</v>
      </c>
      <c r="I31" s="2">
        <v>8.6557248679807311E-2</v>
      </c>
      <c r="J31" s="2">
        <v>6.4725575182685811E-3</v>
      </c>
      <c r="K31" s="2">
        <v>5.8375205254530133E-2</v>
      </c>
      <c r="L31" s="2">
        <v>0.1333833773990043</v>
      </c>
      <c r="M31" s="2">
        <v>0.20077226718570954</v>
      </c>
      <c r="N31" s="2">
        <v>1.692846744890994E-2</v>
      </c>
      <c r="O31" s="2">
        <v>2.5421221838100405E-3</v>
      </c>
      <c r="P31" s="2">
        <v>8.5323763118716634E-3</v>
      </c>
      <c r="Q31" s="2">
        <v>1.9140199124962051E-2</v>
      </c>
      <c r="R31" s="2">
        <v>4.7313250619806471E-2</v>
      </c>
      <c r="S31" s="2">
        <v>0.2952286828750697</v>
      </c>
      <c r="T31" s="1">
        <v>76102.903000000006</v>
      </c>
      <c r="U31" s="1">
        <v>17127.616000000002</v>
      </c>
      <c r="V31" s="1">
        <v>35033.500999999997</v>
      </c>
      <c r="W31" s="1">
        <v>102083.842</v>
      </c>
      <c r="X31" s="1">
        <v>32505.844000000001</v>
      </c>
      <c r="Y31" s="1">
        <v>15110.056</v>
      </c>
      <c r="Z31" s="1">
        <v>75169.847999999998</v>
      </c>
      <c r="AA31" s="1">
        <v>10519.947</v>
      </c>
      <c r="AB31" s="1">
        <v>44010.542999999998</v>
      </c>
      <c r="AC31" s="1">
        <v>3291.01</v>
      </c>
      <c r="AD31" s="1">
        <v>29681.217000000001</v>
      </c>
      <c r="AE31" s="1">
        <v>67819.563999999998</v>
      </c>
      <c r="AF31" s="1">
        <v>508455.891</v>
      </c>
      <c r="AG31" s="1">
        <v>507385.72</v>
      </c>
      <c r="AH31" s="2">
        <v>-0.34402113400433376</v>
      </c>
      <c r="AI31" s="2">
        <v>0.68912000000000007</v>
      </c>
      <c r="AJ31" s="2">
        <v>0.41777999999999998</v>
      </c>
      <c r="AK31" s="2">
        <v>0.81574000000000002</v>
      </c>
      <c r="AL31" s="2">
        <v>0.53827999999999998</v>
      </c>
      <c r="AM31" s="2">
        <v>0.76751999999999998</v>
      </c>
      <c r="AN31" s="2">
        <v>0.84589999999999999</v>
      </c>
      <c r="AO31" s="2">
        <v>0.61753999999999998</v>
      </c>
      <c r="AP31" s="2">
        <v>2.10792</v>
      </c>
      <c r="AQ31" s="2">
        <v>1.16452</v>
      </c>
      <c r="AR31" s="2">
        <v>0.46360999999999997</v>
      </c>
      <c r="AS31" s="2">
        <v>0.54722000000000004</v>
      </c>
      <c r="AT31" s="2">
        <v>0.88831000000000004</v>
      </c>
      <c r="AU31" s="2">
        <v>0.70828999999999998</v>
      </c>
      <c r="AV31" s="1">
        <v>577509.80000000005</v>
      </c>
      <c r="AW31" s="1">
        <f>AV31/AU31</f>
        <v>815357.83365570614</v>
      </c>
      <c r="AX31" s="1">
        <f>AV31/EXP(AH31)</f>
        <v>814640.20210394729</v>
      </c>
      <c r="AY31" s="1">
        <v>150110.76300000001</v>
      </c>
      <c r="AZ31" s="1">
        <f t="shared" si="1"/>
        <v>222924.63727222776</v>
      </c>
      <c r="BA31" s="1">
        <f t="shared" si="2"/>
        <v>163860.41139226875</v>
      </c>
      <c r="BB31" s="1">
        <v>357274.95699999999</v>
      </c>
      <c r="BC31" s="1">
        <f t="shared" si="3"/>
        <v>492623.17407790414</v>
      </c>
      <c r="BD31" s="1">
        <f t="shared" si="4"/>
        <v>461686.15094321076</v>
      </c>
      <c r="BE31" s="1">
        <v>507385.72</v>
      </c>
      <c r="BF31" s="1">
        <v>102083.842</v>
      </c>
      <c r="BG31" s="1">
        <v>8607.3790000000008</v>
      </c>
      <c r="BH31" s="1">
        <v>1292.557</v>
      </c>
      <c r="BI31" s="1">
        <v>4338.3370000000004</v>
      </c>
      <c r="BJ31" s="1">
        <v>9731.9470000000001</v>
      </c>
      <c r="BK31" s="1">
        <v>24056.701000000001</v>
      </c>
      <c r="BL31" s="2">
        <v>-8.7641473744839105E-2</v>
      </c>
      <c r="BM31" s="2">
        <v>0.53827999999999998</v>
      </c>
      <c r="BN31" s="2">
        <v>1.8281800000000001</v>
      </c>
      <c r="BO31" s="2">
        <v>0.59985999999999995</v>
      </c>
      <c r="BP31" s="2">
        <v>0.61102000000000001</v>
      </c>
      <c r="BQ31" s="2">
        <v>0.51003999999999994</v>
      </c>
      <c r="BR31" s="2">
        <v>2.5824400000000001</v>
      </c>
      <c r="BS31" s="2">
        <v>0.67337000000000002</v>
      </c>
      <c r="BT31" s="2">
        <v>0.72525000000000006</v>
      </c>
      <c r="BU31" s="2">
        <v>0.70828999999999998</v>
      </c>
      <c r="BV31">
        <v>1988</v>
      </c>
      <c r="BW31" s="1">
        <v>0</v>
      </c>
      <c r="BX31" s="1">
        <v>1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</row>
    <row r="32" spans="1:82" x14ac:dyDescent="0.2">
      <c r="A32" s="2">
        <v>0.14719226808374442</v>
      </c>
      <c r="B32" s="2">
        <v>3.2876188033843498E-2</v>
      </c>
      <c r="C32" s="2">
        <v>6.6465158344885089E-2</v>
      </c>
      <c r="D32" s="2">
        <v>0.20064076248590479</v>
      </c>
      <c r="E32" s="2">
        <v>6.2349928448622381E-2</v>
      </c>
      <c r="F32" s="2">
        <v>3.0705302723656229E-2</v>
      </c>
      <c r="G32" s="2">
        <v>0.15020768935898979</v>
      </c>
      <c r="H32" s="2">
        <v>2.0314560005466799E-2</v>
      </c>
      <c r="I32" s="2">
        <v>8.6751306373202122E-2</v>
      </c>
      <c r="J32" s="2">
        <v>6.7878224554635486E-3</v>
      </c>
      <c r="K32" s="2">
        <v>5.934088432757896E-2</v>
      </c>
      <c r="L32" s="2">
        <v>0.13636812935864229</v>
      </c>
      <c r="M32" s="2">
        <v>0.20064076248590479</v>
      </c>
      <c r="N32" s="2">
        <v>1.6419795350685999E-2</v>
      </c>
      <c r="O32" s="2">
        <v>2.5621405409529284E-3</v>
      </c>
      <c r="P32" s="2">
        <v>7.9468190389178125E-3</v>
      </c>
      <c r="Q32" s="2">
        <v>1.8690844764357863E-2</v>
      </c>
      <c r="R32" s="2">
        <v>5.0288373157832487E-2</v>
      </c>
      <c r="S32" s="2">
        <v>0.29654873533865189</v>
      </c>
      <c r="T32" s="1">
        <v>80507.168999999994</v>
      </c>
      <c r="U32" s="1">
        <v>17981.710999999999</v>
      </c>
      <c r="V32" s="1">
        <v>36353.279999999999</v>
      </c>
      <c r="W32" s="1">
        <v>109740.95299999999</v>
      </c>
      <c r="X32" s="1">
        <v>34102.445</v>
      </c>
      <c r="Y32" s="1">
        <v>16794.34</v>
      </c>
      <c r="Z32" s="1">
        <v>82156.460999999996</v>
      </c>
      <c r="AA32" s="1">
        <v>11111.098</v>
      </c>
      <c r="AB32" s="1">
        <v>47448.838000000003</v>
      </c>
      <c r="AC32" s="1">
        <v>3712.616</v>
      </c>
      <c r="AD32" s="1">
        <v>32456.641</v>
      </c>
      <c r="AE32" s="1">
        <v>74586.880000000005</v>
      </c>
      <c r="AF32" s="1">
        <v>546952.43200000003</v>
      </c>
      <c r="AG32" s="1">
        <v>543716.43599999999</v>
      </c>
      <c r="AH32" s="2">
        <v>-0.30643788543097483</v>
      </c>
      <c r="AI32" s="2">
        <v>0.7145999999999999</v>
      </c>
      <c r="AJ32" s="2">
        <v>0.43231999999999998</v>
      </c>
      <c r="AK32" s="2">
        <v>0.84081000000000006</v>
      </c>
      <c r="AL32" s="2">
        <v>0.56393000000000004</v>
      </c>
      <c r="AM32" s="2">
        <v>0.78903000000000001</v>
      </c>
      <c r="AN32" s="2">
        <v>0.86019999999999996</v>
      </c>
      <c r="AO32" s="2">
        <v>0.64288999999999996</v>
      </c>
      <c r="AP32" s="2">
        <v>2.0604200000000001</v>
      </c>
      <c r="AQ32" s="2">
        <v>1.18574</v>
      </c>
      <c r="AR32" s="2">
        <v>0.49087000000000003</v>
      </c>
      <c r="AS32" s="2">
        <v>0.57411000000000001</v>
      </c>
      <c r="AT32" s="2">
        <v>0.93683000000000005</v>
      </c>
      <c r="AU32" s="2">
        <v>0.73545000000000005</v>
      </c>
      <c r="AV32" s="1">
        <v>621289.6</v>
      </c>
      <c r="AW32" s="1">
        <f>AV32/AU32</f>
        <v>844774.76375008491</v>
      </c>
      <c r="AX32" s="1">
        <f>AV32/EXP(AH32)</f>
        <v>844069.80900360283</v>
      </c>
      <c r="AY32" s="1">
        <v>162198.052</v>
      </c>
      <c r="AZ32" s="1">
        <f t="shared" si="1"/>
        <v>229015.66135773185</v>
      </c>
      <c r="BA32" s="1">
        <f t="shared" si="2"/>
        <v>173847.91147115448</v>
      </c>
      <c r="BB32" s="1">
        <v>381518.38400000002</v>
      </c>
      <c r="BC32" s="1">
        <f t="shared" si="3"/>
        <v>509377.13988170738</v>
      </c>
      <c r="BD32" s="1">
        <f t="shared" si="4"/>
        <v>483588.4381043294</v>
      </c>
      <c r="BE32" s="1">
        <v>543716.43599999999</v>
      </c>
      <c r="BF32" s="1">
        <v>109740.95299999999</v>
      </c>
      <c r="BG32" s="1">
        <v>8980.8469999999998</v>
      </c>
      <c r="BH32" s="1">
        <v>1401.3689999999999</v>
      </c>
      <c r="BI32" s="1">
        <v>4346.5320000000002</v>
      </c>
      <c r="BJ32" s="1">
        <v>10223.003000000001</v>
      </c>
      <c r="BK32" s="1">
        <v>27505.348000000002</v>
      </c>
      <c r="BL32" s="2">
        <v>-6.9362713241162777E-2</v>
      </c>
      <c r="BM32" s="2">
        <v>0.56393000000000004</v>
      </c>
      <c r="BN32" s="2">
        <v>1.7787500000000001</v>
      </c>
      <c r="BO32" s="2">
        <v>0.60279000000000005</v>
      </c>
      <c r="BP32" s="2">
        <v>0.62507000000000001</v>
      </c>
      <c r="BQ32" s="2">
        <v>0.53390000000000004</v>
      </c>
      <c r="BR32" s="2">
        <v>2.8616699999999997</v>
      </c>
      <c r="BS32" s="2">
        <v>0.70823999999999998</v>
      </c>
      <c r="BT32" s="2">
        <v>0.74899000000000004</v>
      </c>
      <c r="BU32" s="2">
        <v>0.73545000000000005</v>
      </c>
      <c r="BV32">
        <v>1989</v>
      </c>
      <c r="BW32" s="1">
        <v>0</v>
      </c>
      <c r="BX32" s="1">
        <v>1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</row>
    <row r="33" spans="1:82" x14ac:dyDescent="0.2">
      <c r="A33" s="2">
        <v>0.14625762626912089</v>
      </c>
      <c r="B33" s="2">
        <v>3.23381846581706E-2</v>
      </c>
      <c r="C33" s="2">
        <v>6.6648679691015442E-2</v>
      </c>
      <c r="D33" s="2">
        <v>0.20378156719467388</v>
      </c>
      <c r="E33" s="2">
        <v>6.1291604704773468E-2</v>
      </c>
      <c r="F33" s="2">
        <v>3.1734524116903709E-2</v>
      </c>
      <c r="G33" s="2">
        <v>0.1482127769595345</v>
      </c>
      <c r="H33" s="2">
        <v>2.0742158579102478E-2</v>
      </c>
      <c r="I33" s="2">
        <v>8.7083989159978864E-2</v>
      </c>
      <c r="J33" s="2">
        <v>6.4025302656941256E-3</v>
      </c>
      <c r="K33" s="2">
        <v>6.0558705148277589E-2</v>
      </c>
      <c r="L33" s="2">
        <v>0.13494765325275468</v>
      </c>
      <c r="M33" s="2">
        <v>0.20378156719467388</v>
      </c>
      <c r="N33" s="2">
        <v>1.6548170630141707E-2</v>
      </c>
      <c r="O33" s="2">
        <v>2.6715921953722899E-3</v>
      </c>
      <c r="P33" s="2">
        <v>8.2366034020147309E-3</v>
      </c>
      <c r="Q33" s="2">
        <v>1.8791905458341036E-2</v>
      </c>
      <c r="R33" s="2">
        <v>4.9290878603258467E-2</v>
      </c>
      <c r="S33" s="2">
        <v>0.29932071748380212</v>
      </c>
      <c r="T33" s="1">
        <v>84423.569000000003</v>
      </c>
      <c r="U33" s="1">
        <v>18666.411</v>
      </c>
      <c r="V33" s="1">
        <v>38471.288999999997</v>
      </c>
      <c r="W33" s="1">
        <v>117627.83</v>
      </c>
      <c r="X33" s="1">
        <v>35379.050999999999</v>
      </c>
      <c r="Y33" s="1">
        <v>18317.963</v>
      </c>
      <c r="Z33" s="1">
        <v>85552.130999999994</v>
      </c>
      <c r="AA33" s="1">
        <v>11972.894</v>
      </c>
      <c r="AB33" s="1">
        <v>50267.061999999998</v>
      </c>
      <c r="AC33" s="1">
        <v>3695.701</v>
      </c>
      <c r="AD33" s="1">
        <v>34956.002999999997</v>
      </c>
      <c r="AE33" s="1">
        <v>77895.168999999994</v>
      </c>
      <c r="AF33" s="1">
        <v>577225.07299999986</v>
      </c>
      <c r="AG33" s="1">
        <v>573408.95700000005</v>
      </c>
      <c r="AH33" s="2">
        <v>-0.27807458591484441</v>
      </c>
      <c r="AI33" s="2">
        <v>0.73529</v>
      </c>
      <c r="AJ33" s="2">
        <v>0.44680999999999998</v>
      </c>
      <c r="AK33" s="2">
        <v>0.87202000000000002</v>
      </c>
      <c r="AL33" s="2">
        <v>0.58609999999999995</v>
      </c>
      <c r="AM33" s="2">
        <v>0.81228999999999996</v>
      </c>
      <c r="AN33" s="2">
        <v>0.86651999999999996</v>
      </c>
      <c r="AO33" s="2">
        <v>0.66178999999999999</v>
      </c>
      <c r="AP33" s="2">
        <v>2.0384500000000001</v>
      </c>
      <c r="AQ33" s="2">
        <v>1.1977500000000001</v>
      </c>
      <c r="AR33" s="2">
        <v>0.52061000000000002</v>
      </c>
      <c r="AS33" s="2">
        <v>0.60606000000000004</v>
      </c>
      <c r="AT33" s="2">
        <v>0.95257000000000003</v>
      </c>
      <c r="AU33" s="2">
        <v>0.75656999999999996</v>
      </c>
      <c r="AV33" s="1">
        <v>662852.9</v>
      </c>
      <c r="AW33" s="1">
        <f>AV33/AU33</f>
        <v>876128.97682963905</v>
      </c>
      <c r="AX33" s="1">
        <f>AV33/EXP(AH33)</f>
        <v>875353.39182880183</v>
      </c>
      <c r="AY33" s="1">
        <v>172775.42300000001</v>
      </c>
      <c r="AZ33" s="1">
        <f t="shared" si="1"/>
        <v>236157.82042344968</v>
      </c>
      <c r="BA33" s="1">
        <f t="shared" si="2"/>
        <v>183946.32195497406</v>
      </c>
      <c r="BB33" s="1">
        <v>400633.53399999999</v>
      </c>
      <c r="BC33" s="1">
        <f t="shared" si="3"/>
        <v>520891.8310298649</v>
      </c>
      <c r="BD33" s="1">
        <f t="shared" si="4"/>
        <v>496940.52293975319</v>
      </c>
      <c r="BE33" s="1">
        <v>573408.95700000005</v>
      </c>
      <c r="BF33" s="1">
        <v>117627.83</v>
      </c>
      <c r="BG33" s="1">
        <v>9552.0190000000002</v>
      </c>
      <c r="BH33" s="1">
        <v>1542.11</v>
      </c>
      <c r="BI33" s="1">
        <v>4754.3739999999998</v>
      </c>
      <c r="BJ33" s="1">
        <v>10847.159</v>
      </c>
      <c r="BK33" s="1">
        <v>28451.931</v>
      </c>
      <c r="BL33" s="2">
        <v>-6.2651368297038046E-2</v>
      </c>
      <c r="BM33" s="2">
        <v>0.58609999999999995</v>
      </c>
      <c r="BN33" s="2">
        <v>1.75919</v>
      </c>
      <c r="BO33" s="2">
        <v>0.63224999999999998</v>
      </c>
      <c r="BP33" s="2">
        <v>0.64757000000000009</v>
      </c>
      <c r="BQ33" s="2">
        <v>0.54432999999999998</v>
      </c>
      <c r="BR33" s="2">
        <v>2.9371399999999999</v>
      </c>
      <c r="BS33" s="2">
        <v>0.73160999999999998</v>
      </c>
      <c r="BT33" s="2">
        <v>0.76912999999999998</v>
      </c>
      <c r="BU33" s="2">
        <v>0.75656999999999996</v>
      </c>
      <c r="BV33">
        <v>1990</v>
      </c>
      <c r="BW33" s="1">
        <v>0</v>
      </c>
      <c r="BX33" s="1">
        <v>1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</row>
    <row r="34" spans="1:82" x14ac:dyDescent="0.2">
      <c r="A34" s="2">
        <v>0.14679568817898661</v>
      </c>
      <c r="B34" s="2">
        <v>3.2466764532781946E-2</v>
      </c>
      <c r="C34" s="2">
        <v>6.5872733861235086E-2</v>
      </c>
      <c r="D34" s="2">
        <v>0.2138941371973509</v>
      </c>
      <c r="E34" s="2">
        <v>6.0124726331254257E-2</v>
      </c>
      <c r="F34" s="2">
        <v>3.2806028056557981E-2</v>
      </c>
      <c r="G34" s="2">
        <v>0.14144704006379735</v>
      </c>
      <c r="H34" s="2">
        <v>2.1013173941545282E-2</v>
      </c>
      <c r="I34" s="2">
        <v>8.7720138525405639E-2</v>
      </c>
      <c r="J34" s="2">
        <v>6.3274956118408859E-3</v>
      </c>
      <c r="K34" s="2">
        <v>6.2020316936975524E-2</v>
      </c>
      <c r="L34" s="2">
        <v>0.12951175676226859</v>
      </c>
      <c r="M34" s="2">
        <v>0.2138941371973509</v>
      </c>
      <c r="N34" s="2">
        <v>1.6826985057871807E-2</v>
      </c>
      <c r="O34" s="2">
        <v>2.8216364013878828E-3</v>
      </c>
      <c r="P34" s="2">
        <v>8.3345443870234438E-3</v>
      </c>
      <c r="Q34" s="2">
        <v>1.8414075612226619E-2</v>
      </c>
      <c r="R34" s="2">
        <v>4.3710748422343106E-2</v>
      </c>
      <c r="S34" s="2">
        <v>0.30400212707820379</v>
      </c>
      <c r="T34" s="1">
        <v>87704.817999999999</v>
      </c>
      <c r="U34" s="1">
        <v>19397.651999999998</v>
      </c>
      <c r="V34" s="1">
        <v>39356.442999999999</v>
      </c>
      <c r="W34" s="1">
        <v>127793.579</v>
      </c>
      <c r="X34" s="1">
        <v>35922.228000000003</v>
      </c>
      <c r="Y34" s="1">
        <v>19600.348999999998</v>
      </c>
      <c r="Z34" s="1">
        <v>84509.205000000002</v>
      </c>
      <c r="AA34" s="1">
        <v>12554.569</v>
      </c>
      <c r="AB34" s="1">
        <v>52409.432999999997</v>
      </c>
      <c r="AC34" s="1">
        <v>3780.4369999999999</v>
      </c>
      <c r="AD34" s="1">
        <v>37054.771000000001</v>
      </c>
      <c r="AE34" s="1">
        <v>77378.328999999998</v>
      </c>
      <c r="AF34" s="1">
        <v>597461.81299999997</v>
      </c>
      <c r="AG34" s="1">
        <v>592510.87699999998</v>
      </c>
      <c r="AH34" s="2">
        <v>-0.25370336637066521</v>
      </c>
      <c r="AI34" s="2">
        <v>0.75614999999999999</v>
      </c>
      <c r="AJ34" s="2">
        <v>0.45978000000000002</v>
      </c>
      <c r="AK34" s="2">
        <v>0.90197999999999989</v>
      </c>
      <c r="AL34" s="2">
        <v>0.61307999999999996</v>
      </c>
      <c r="AM34" s="2">
        <v>0.83796999999999999</v>
      </c>
      <c r="AN34" s="2">
        <v>0.87391999999999992</v>
      </c>
      <c r="AO34" s="2">
        <v>0.68428</v>
      </c>
      <c r="AP34" s="2">
        <v>2.0208200000000001</v>
      </c>
      <c r="AQ34" s="2">
        <v>1.22387</v>
      </c>
      <c r="AR34" s="2">
        <v>0.55084</v>
      </c>
      <c r="AS34" s="2">
        <v>0.63771999999999995</v>
      </c>
      <c r="AT34" s="2">
        <v>0.93924999999999992</v>
      </c>
      <c r="AU34" s="2">
        <v>0.77724000000000004</v>
      </c>
      <c r="AV34" s="1">
        <v>691253.8</v>
      </c>
      <c r="AW34" s="1">
        <f>AV34/AU34</f>
        <v>889369.82141938142</v>
      </c>
      <c r="AX34" s="1">
        <f>AV34/EXP(AH34)</f>
        <v>890880.60420720547</v>
      </c>
      <c r="AY34" s="1">
        <v>181629.66200000001</v>
      </c>
      <c r="AZ34" s="1">
        <f t="shared" si="1"/>
        <v>242463.83927379525</v>
      </c>
      <c r="BA34" s="1">
        <f t="shared" si="2"/>
        <v>194098.00255534914</v>
      </c>
      <c r="BB34" s="1">
        <v>410881.21500000003</v>
      </c>
      <c r="BC34" s="1">
        <f t="shared" si="3"/>
        <v>519248.34449639835</v>
      </c>
      <c r="BD34" s="1">
        <f t="shared" si="4"/>
        <v>495523.17073567037</v>
      </c>
      <c r="BE34" s="1">
        <v>592510.87699999998</v>
      </c>
      <c r="BF34" s="1">
        <v>127793.579</v>
      </c>
      <c r="BG34" s="1">
        <v>10053.481</v>
      </c>
      <c r="BH34" s="1">
        <v>1685.82</v>
      </c>
      <c r="BI34" s="1">
        <v>4979.5720000000001</v>
      </c>
      <c r="BJ34" s="1">
        <v>11001.707</v>
      </c>
      <c r="BK34" s="1">
        <v>26115.503000000001</v>
      </c>
      <c r="BL34" s="2">
        <v>-6.6393409486541183E-2</v>
      </c>
      <c r="BM34" s="2">
        <v>0.61307999999999996</v>
      </c>
      <c r="BN34" s="2">
        <v>1.7556200000000002</v>
      </c>
      <c r="BO34" s="2">
        <v>0.64347999999999994</v>
      </c>
      <c r="BP34" s="2">
        <v>0.67322000000000004</v>
      </c>
      <c r="BQ34" s="2">
        <v>0.54533999999999994</v>
      </c>
      <c r="BR34" s="2">
        <v>2.76736</v>
      </c>
      <c r="BS34" s="2">
        <v>0.74909999999999999</v>
      </c>
      <c r="BT34" s="2">
        <v>0.7913</v>
      </c>
      <c r="BU34" s="2">
        <v>0.77724000000000004</v>
      </c>
      <c r="BV34">
        <v>1991</v>
      </c>
      <c r="BW34" s="1">
        <v>0</v>
      </c>
      <c r="BX34" s="1">
        <v>1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</row>
    <row r="35" spans="1:82" x14ac:dyDescent="0.2">
      <c r="A35" s="2">
        <v>0.14199556991955628</v>
      </c>
      <c r="B35" s="2">
        <v>3.3117206664903587E-2</v>
      </c>
      <c r="C35" s="2">
        <v>6.402409638655282E-2</v>
      </c>
      <c r="D35" s="2">
        <v>0.21941061284117305</v>
      </c>
      <c r="E35" s="2">
        <v>5.8477170260298236E-2</v>
      </c>
      <c r="F35" s="2">
        <v>3.3826761516510678E-2</v>
      </c>
      <c r="G35" s="2">
        <v>0.14124777070686551</v>
      </c>
      <c r="H35" s="2">
        <v>2.1183362544047679E-2</v>
      </c>
      <c r="I35" s="2">
        <v>8.7178088842167004E-2</v>
      </c>
      <c r="J35" s="2">
        <v>6.492890105815669E-3</v>
      </c>
      <c r="K35" s="2">
        <v>6.1996933927568679E-2</v>
      </c>
      <c r="L35" s="2">
        <v>0.13104953628454086</v>
      </c>
      <c r="M35" s="2">
        <v>0.21941061284117305</v>
      </c>
      <c r="N35" s="2">
        <v>1.6879737883589385E-2</v>
      </c>
      <c r="O35" s="2">
        <v>3.0568630059272209E-3</v>
      </c>
      <c r="P35" s="2">
        <v>8.2878472838587951E-3</v>
      </c>
      <c r="Q35" s="2">
        <v>1.8735347572699866E-2</v>
      </c>
      <c r="R35" s="2">
        <v>4.3631308731037613E-2</v>
      </c>
      <c r="S35" s="2">
        <v>0.31000171731828591</v>
      </c>
      <c r="T35" s="1">
        <v>88024.244000000006</v>
      </c>
      <c r="U35" s="1">
        <v>20529.633999999998</v>
      </c>
      <c r="V35" s="1">
        <v>39689.074000000001</v>
      </c>
      <c r="W35" s="1">
        <v>136014.478</v>
      </c>
      <c r="X35" s="1">
        <v>36250.487999999998</v>
      </c>
      <c r="Y35" s="1">
        <v>20969.492999999999</v>
      </c>
      <c r="Z35" s="1">
        <v>87560.676999999996</v>
      </c>
      <c r="AA35" s="1">
        <v>13131.744000000001</v>
      </c>
      <c r="AB35" s="1">
        <v>54042.428</v>
      </c>
      <c r="AC35" s="1">
        <v>4024.9969999999998</v>
      </c>
      <c r="AD35" s="1">
        <v>38432.419000000002</v>
      </c>
      <c r="AE35" s="1">
        <v>81238.706000000006</v>
      </c>
      <c r="AF35" s="1">
        <v>619908.38199999998</v>
      </c>
      <c r="AG35" s="1">
        <v>613680.98</v>
      </c>
      <c r="AH35" s="2">
        <v>-0.22985480134383571</v>
      </c>
      <c r="AI35" s="2">
        <v>0.75507999999999997</v>
      </c>
      <c r="AJ35" s="2">
        <v>0.48576000000000003</v>
      </c>
      <c r="AK35" s="2">
        <v>0.92138999999999993</v>
      </c>
      <c r="AL35" s="2">
        <v>0.63863000000000003</v>
      </c>
      <c r="AM35" s="2">
        <v>0.85763</v>
      </c>
      <c r="AN35" s="2">
        <v>0.88647999999999993</v>
      </c>
      <c r="AO35" s="2">
        <v>0.69745999999999997</v>
      </c>
      <c r="AP35" s="2">
        <v>1.9999</v>
      </c>
      <c r="AQ35" s="2">
        <v>1.2516</v>
      </c>
      <c r="AR35" s="2">
        <v>0.57008999999999999</v>
      </c>
      <c r="AS35" s="2">
        <v>0.66620999999999997</v>
      </c>
      <c r="AT35" s="2">
        <v>0.97077000000000002</v>
      </c>
      <c r="AU35" s="2">
        <v>0.79724000000000006</v>
      </c>
      <c r="AV35" s="1">
        <v>723532.5</v>
      </c>
      <c r="AW35" s="1">
        <f>AV35/AU35</f>
        <v>907546.66098038224</v>
      </c>
      <c r="AX35" s="1">
        <f>AV35/EXP(AH35)</f>
        <v>910505.7978676178</v>
      </c>
      <c r="AY35" s="1">
        <v>192172.663</v>
      </c>
      <c r="AZ35" s="1">
        <f t="shared" si="1"/>
        <v>246846.74956005701</v>
      </c>
      <c r="BA35" s="1">
        <f t="shared" si="2"/>
        <v>203540.07899525328</v>
      </c>
      <c r="BB35" s="1">
        <v>421508.31699999998</v>
      </c>
      <c r="BC35" s="1">
        <f t="shared" si="3"/>
        <v>522392.81801507034</v>
      </c>
      <c r="BD35" s="1">
        <f t="shared" si="4"/>
        <v>500809.42074500519</v>
      </c>
      <c r="BE35" s="1">
        <v>613680.98</v>
      </c>
      <c r="BF35" s="1">
        <v>136014.478</v>
      </c>
      <c r="BG35" s="1">
        <v>10463.891</v>
      </c>
      <c r="BH35" s="1">
        <v>1894.9749999999999</v>
      </c>
      <c r="BI35" s="1">
        <v>5137.7060000000001</v>
      </c>
      <c r="BJ35" s="1">
        <v>11614.199000000001</v>
      </c>
      <c r="BK35" s="1">
        <v>27047.414000000001</v>
      </c>
      <c r="BL35" s="2">
        <v>-5.7468679500179726E-2</v>
      </c>
      <c r="BM35" s="2">
        <v>0.63863000000000003</v>
      </c>
      <c r="BN35" s="2">
        <v>1.75057</v>
      </c>
      <c r="BO35" s="2">
        <v>0.6845699999999999</v>
      </c>
      <c r="BP35" s="2">
        <v>0.69677999999999995</v>
      </c>
      <c r="BQ35" s="2">
        <v>0.57565</v>
      </c>
      <c r="BR35" s="2">
        <v>2.8679199999999998</v>
      </c>
      <c r="BS35" s="2">
        <v>0.77851000000000004</v>
      </c>
      <c r="BT35" s="2">
        <v>0.80688000000000004</v>
      </c>
      <c r="BU35" s="2">
        <v>0.79724000000000006</v>
      </c>
      <c r="BV35">
        <v>1992</v>
      </c>
      <c r="BW35" s="1">
        <v>0</v>
      </c>
      <c r="BX35" s="1">
        <v>1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</row>
    <row r="36" spans="1:82" x14ac:dyDescent="0.2">
      <c r="A36" s="2">
        <v>0.14096604827222295</v>
      </c>
      <c r="B36" s="2">
        <v>3.550056282231949E-2</v>
      </c>
      <c r="C36" s="2">
        <v>6.2566522524253806E-2</v>
      </c>
      <c r="D36" s="2">
        <v>0.22741270806029018</v>
      </c>
      <c r="E36" s="2">
        <v>5.7491040349822643E-2</v>
      </c>
      <c r="F36" s="2">
        <v>3.5344180675421083E-2</v>
      </c>
      <c r="G36" s="2">
        <v>0.1355608552381117</v>
      </c>
      <c r="H36" s="2">
        <v>2.156472288003345E-2</v>
      </c>
      <c r="I36" s="2">
        <v>8.7073576213561016E-2</v>
      </c>
      <c r="J36" s="2">
        <v>6.5220877764103919E-3</v>
      </c>
      <c r="K36" s="2">
        <v>6.1753060336376703E-2</v>
      </c>
      <c r="L36" s="2">
        <v>0.12824463485117643</v>
      </c>
      <c r="M36" s="2">
        <v>0.22741270806029018</v>
      </c>
      <c r="N36" s="2">
        <v>1.7331491388937182E-2</v>
      </c>
      <c r="O36" s="2">
        <v>3.2117176174522879E-3</v>
      </c>
      <c r="P36" s="2">
        <v>8.3775284854563613E-3</v>
      </c>
      <c r="Q36" s="2">
        <v>1.9041310861447214E-2</v>
      </c>
      <c r="R36" s="2">
        <v>4.0201958298415282E-2</v>
      </c>
      <c r="S36" s="2">
        <v>0.3155767147119985</v>
      </c>
      <c r="T36" s="1">
        <v>88672.718999999997</v>
      </c>
      <c r="U36" s="1">
        <v>22331.132000000001</v>
      </c>
      <c r="V36" s="1">
        <v>39356.595000000001</v>
      </c>
      <c r="W36" s="1">
        <v>143050.78</v>
      </c>
      <c r="X36" s="1">
        <v>36163.934000000001</v>
      </c>
      <c r="Y36" s="1">
        <v>22232.761999999999</v>
      </c>
      <c r="Z36" s="1">
        <v>85272.657999999996</v>
      </c>
      <c r="AA36" s="1">
        <v>13564.986999999999</v>
      </c>
      <c r="AB36" s="1">
        <v>54772.413999999997</v>
      </c>
      <c r="AC36" s="1">
        <v>4102.6279999999997</v>
      </c>
      <c r="AD36" s="1">
        <v>38844.898000000001</v>
      </c>
      <c r="AE36" s="1">
        <v>80670.491999999998</v>
      </c>
      <c r="AF36" s="1">
        <v>629035.99900000007</v>
      </c>
      <c r="AG36" s="1">
        <v>622644.42599999998</v>
      </c>
      <c r="AH36" s="2">
        <v>-0.21714790876768938</v>
      </c>
      <c r="AI36" s="2">
        <v>0.75543000000000005</v>
      </c>
      <c r="AJ36" s="2">
        <v>0.52251000000000003</v>
      </c>
      <c r="AK36" s="2">
        <v>0.93208000000000002</v>
      </c>
      <c r="AL36" s="2">
        <v>0.65870999999999991</v>
      </c>
      <c r="AM36" s="2">
        <v>0.86863000000000001</v>
      </c>
      <c r="AN36" s="2">
        <v>0.90025999999999995</v>
      </c>
      <c r="AO36" s="2">
        <v>0.71831999999999996</v>
      </c>
      <c r="AP36" s="2">
        <v>1.9842299999999999</v>
      </c>
      <c r="AQ36" s="2">
        <v>1.26088</v>
      </c>
      <c r="AR36" s="2">
        <v>0.59287999999999996</v>
      </c>
      <c r="AS36" s="2">
        <v>0.6894499999999999</v>
      </c>
      <c r="AT36" s="2">
        <v>0.94572000000000001</v>
      </c>
      <c r="AU36" s="2">
        <v>0.8092100000000001</v>
      </c>
      <c r="AV36" s="1">
        <v>739115.5</v>
      </c>
      <c r="AW36" s="1">
        <f>AV36/AU36</f>
        <v>913379.09813274664</v>
      </c>
      <c r="AX36" s="1">
        <f>AV36/EXP(AH36)</f>
        <v>918371.60739122052</v>
      </c>
      <c r="AY36" s="1">
        <v>198509.114</v>
      </c>
      <c r="AZ36" s="1">
        <f t="shared" si="1"/>
        <v>251659.62728194729</v>
      </c>
      <c r="BA36" s="1">
        <f t="shared" si="2"/>
        <v>210841.26826473535</v>
      </c>
      <c r="BB36" s="1">
        <v>424135.31099999999</v>
      </c>
      <c r="BC36" s="1">
        <f t="shared" si="3"/>
        <v>517440.11199492478</v>
      </c>
      <c r="BD36" s="1">
        <f t="shared" si="4"/>
        <v>496175.59635037521</v>
      </c>
      <c r="BE36" s="1">
        <v>622644.42599999998</v>
      </c>
      <c r="BF36" s="1">
        <v>143050.78</v>
      </c>
      <c r="BG36" s="1">
        <v>10902.132</v>
      </c>
      <c r="BH36" s="1">
        <v>2020.2860000000001</v>
      </c>
      <c r="BI36" s="1">
        <v>5269.7669999999998</v>
      </c>
      <c r="BJ36" s="1">
        <v>11977.67</v>
      </c>
      <c r="BK36" s="1">
        <v>25288.478999999999</v>
      </c>
      <c r="BL36" s="2">
        <v>-6.0270553832722187E-2</v>
      </c>
      <c r="BM36" s="2">
        <v>0.65870999999999991</v>
      </c>
      <c r="BN36" s="2">
        <v>1.74373</v>
      </c>
      <c r="BO36" s="2">
        <v>0.69396000000000002</v>
      </c>
      <c r="BP36" s="2">
        <v>0.72325000000000006</v>
      </c>
      <c r="BQ36" s="2">
        <v>0.59548000000000001</v>
      </c>
      <c r="BR36" s="2">
        <v>2.6244400000000003</v>
      </c>
      <c r="BS36" s="2">
        <v>0.78879999999999995</v>
      </c>
      <c r="BT36" s="2">
        <v>0.81968000000000008</v>
      </c>
      <c r="BU36" s="2">
        <v>0.8092100000000001</v>
      </c>
      <c r="BV36">
        <v>1993</v>
      </c>
      <c r="BW36" s="1">
        <v>0</v>
      </c>
      <c r="BX36" s="1">
        <v>1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</row>
    <row r="37" spans="1:82" x14ac:dyDescent="0.2">
      <c r="A37" s="2">
        <v>0.13992780057239063</v>
      </c>
      <c r="B37" s="2">
        <v>3.6439048233682186E-2</v>
      </c>
      <c r="C37" s="2">
        <v>5.9798524014387552E-2</v>
      </c>
      <c r="D37" s="2">
        <v>0.22996123012787312</v>
      </c>
      <c r="E37" s="2">
        <v>5.6679123059017684E-2</v>
      </c>
      <c r="F37" s="2">
        <v>3.6320469798275301E-2</v>
      </c>
      <c r="G37" s="2">
        <v>0.14087900648813151</v>
      </c>
      <c r="H37" s="2">
        <v>2.1951147740536279E-2</v>
      </c>
      <c r="I37" s="2">
        <v>8.7774291667113521E-2</v>
      </c>
      <c r="J37" s="2">
        <v>6.3950335228860553E-3</v>
      </c>
      <c r="K37" s="2">
        <v>6.0893860119814368E-2</v>
      </c>
      <c r="L37" s="2">
        <v>0.12298046465589173</v>
      </c>
      <c r="M37" s="2">
        <v>0.22996123012787312</v>
      </c>
      <c r="N37" s="2">
        <v>1.7698557492302213E-2</v>
      </c>
      <c r="O37" s="2">
        <v>3.3474007472533013E-3</v>
      </c>
      <c r="P37" s="2">
        <v>8.2498304044947655E-3</v>
      </c>
      <c r="Q37" s="2">
        <v>1.8942662795230655E-2</v>
      </c>
      <c r="R37" s="2">
        <v>3.4067112064029605E-2</v>
      </c>
      <c r="S37" s="2">
        <v>0.3122667936311837</v>
      </c>
      <c r="T37" s="1">
        <v>90248.604000000007</v>
      </c>
      <c r="U37" s="1">
        <v>23501.929</v>
      </c>
      <c r="V37" s="1">
        <v>38567.985000000001</v>
      </c>
      <c r="W37" s="1">
        <v>148317.06</v>
      </c>
      <c r="X37" s="1">
        <v>36556.078999999998</v>
      </c>
      <c r="Y37" s="1">
        <v>23425.45</v>
      </c>
      <c r="Z37" s="1">
        <v>90862.099000000002</v>
      </c>
      <c r="AA37" s="1">
        <v>14157.733</v>
      </c>
      <c r="AB37" s="1">
        <v>56611.39</v>
      </c>
      <c r="AC37" s="1">
        <v>4124.576</v>
      </c>
      <c r="AD37" s="1">
        <v>39274.438999999998</v>
      </c>
      <c r="AE37" s="1">
        <v>79318.157000000007</v>
      </c>
      <c r="AF37" s="1">
        <v>644965.50100000005</v>
      </c>
      <c r="AG37" s="1">
        <v>638776.68700000003</v>
      </c>
      <c r="AH37" s="2">
        <v>-0.20949702601878176</v>
      </c>
      <c r="AI37" s="2">
        <v>0.76178000000000001</v>
      </c>
      <c r="AJ37" s="2">
        <v>0.56157000000000001</v>
      </c>
      <c r="AK37" s="2">
        <v>0.93688000000000005</v>
      </c>
      <c r="AL37" s="2">
        <v>0.67298000000000002</v>
      </c>
      <c r="AM37" s="2">
        <v>0.87407000000000001</v>
      </c>
      <c r="AN37" s="2">
        <v>0.91142999999999996</v>
      </c>
      <c r="AO37" s="2">
        <v>0.73024</v>
      </c>
      <c r="AP37" s="2">
        <v>1.9881</v>
      </c>
      <c r="AQ37" s="2">
        <v>1.25884</v>
      </c>
      <c r="AR37" s="2">
        <v>0.60880000000000001</v>
      </c>
      <c r="AS37" s="2">
        <v>0.70296999999999998</v>
      </c>
      <c r="AT37" s="2">
        <v>0.91599000000000008</v>
      </c>
      <c r="AU37" s="2">
        <v>0.81672</v>
      </c>
      <c r="AV37" s="1">
        <v>751735.8</v>
      </c>
      <c r="AW37" s="1">
        <f>AV37/AU37</f>
        <v>920432.7064354982</v>
      </c>
      <c r="AX37" s="1">
        <f>AV37/EXP(AH37)</f>
        <v>926933.62258075213</v>
      </c>
      <c r="AY37" s="1">
        <v>201401.30900000001</v>
      </c>
      <c r="AZ37" s="1">
        <f t="shared" si="1"/>
        <v>255819.16090844429</v>
      </c>
      <c r="BA37" s="1">
        <f t="shared" si="2"/>
        <v>215356.7355543889</v>
      </c>
      <c r="BB37" s="1">
        <v>437375.37800000003</v>
      </c>
      <c r="BC37" s="1">
        <f t="shared" si="3"/>
        <v>525957.06726953515</v>
      </c>
      <c r="BD37" s="1">
        <f t="shared" si="4"/>
        <v>504361.07613414584</v>
      </c>
      <c r="BE37" s="1">
        <v>638776.68700000003</v>
      </c>
      <c r="BF37" s="1">
        <v>148317.06</v>
      </c>
      <c r="BG37" s="1">
        <v>11414.959000000001</v>
      </c>
      <c r="BH37" s="1">
        <v>2158.9580000000001</v>
      </c>
      <c r="BI37" s="1">
        <v>5320.8559999999998</v>
      </c>
      <c r="BJ37" s="1">
        <v>12217.364</v>
      </c>
      <c r="BK37" s="1">
        <v>21972.112000000001</v>
      </c>
      <c r="BL37" s="2">
        <v>-6.6996408487686288E-2</v>
      </c>
      <c r="BM37" s="2">
        <v>0.67298000000000002</v>
      </c>
      <c r="BN37" s="2">
        <v>1.7546999999999999</v>
      </c>
      <c r="BO37" s="2">
        <v>0.71007999999999993</v>
      </c>
      <c r="BP37" s="2">
        <v>0.73048000000000002</v>
      </c>
      <c r="BQ37" s="2">
        <v>0.61899000000000004</v>
      </c>
      <c r="BR37" s="2">
        <v>2.2056999999999998</v>
      </c>
      <c r="BS37" s="2">
        <v>0.78727999999999998</v>
      </c>
      <c r="BT37" s="2">
        <v>0.83157999999999999</v>
      </c>
      <c r="BU37" s="2">
        <v>0.81672</v>
      </c>
      <c r="BV37">
        <v>1994</v>
      </c>
      <c r="BW37" s="1">
        <v>0</v>
      </c>
      <c r="BX37" s="1">
        <v>1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</row>
    <row r="38" spans="1:82" x14ac:dyDescent="0.2">
      <c r="A38" s="2">
        <v>0.14013270403927244</v>
      </c>
      <c r="B38" s="2">
        <v>3.6899239911445836E-2</v>
      </c>
      <c r="C38" s="2">
        <v>5.725628096960151E-2</v>
      </c>
      <c r="D38" s="2">
        <v>0.23477084561059178</v>
      </c>
      <c r="E38" s="2">
        <v>5.631958404215482E-2</v>
      </c>
      <c r="F38" s="2">
        <v>3.6427295564445954E-2</v>
      </c>
      <c r="G38" s="2">
        <v>0.13973708116010625</v>
      </c>
      <c r="H38" s="2">
        <v>2.2068328648430235E-2</v>
      </c>
      <c r="I38" s="2">
        <v>8.9301870475805845E-2</v>
      </c>
      <c r="J38" s="2">
        <v>6.4467455751815797E-3</v>
      </c>
      <c r="K38" s="2">
        <v>6.1329822329762161E-2</v>
      </c>
      <c r="L38" s="2">
        <v>0.11931020167320167</v>
      </c>
      <c r="M38" s="2">
        <v>0.23477084561059178</v>
      </c>
      <c r="N38" s="2">
        <v>1.783085165873265E-2</v>
      </c>
      <c r="O38" s="2">
        <v>3.5943037834872231E-3</v>
      </c>
      <c r="P38" s="2">
        <v>7.8728612219709695E-3</v>
      </c>
      <c r="Q38" s="2">
        <v>1.7808104232875866E-2</v>
      </c>
      <c r="R38" s="2">
        <v>2.8068424481104692E-2</v>
      </c>
      <c r="S38" s="2">
        <v>0.30994538947438821</v>
      </c>
      <c r="T38" s="1">
        <v>92535.013000000006</v>
      </c>
      <c r="U38" s="1">
        <v>24365.987000000001</v>
      </c>
      <c r="V38" s="1">
        <v>37808.523999999998</v>
      </c>
      <c r="W38" s="1">
        <v>155028.217</v>
      </c>
      <c r="X38" s="1">
        <v>37189.987000000001</v>
      </c>
      <c r="Y38" s="1">
        <v>24054.344000000001</v>
      </c>
      <c r="Z38" s="1">
        <v>92273.767999999996</v>
      </c>
      <c r="AA38" s="1">
        <v>14572.566000000001</v>
      </c>
      <c r="AB38" s="1">
        <v>58969.459000000003</v>
      </c>
      <c r="AC38" s="1">
        <v>4257.0339999999997</v>
      </c>
      <c r="AD38" s="1">
        <v>40498.44</v>
      </c>
      <c r="AE38" s="1">
        <v>78785.114000000001</v>
      </c>
      <c r="AF38" s="1">
        <v>660338.45299999998</v>
      </c>
      <c r="AG38" s="1">
        <v>655094.78300000005</v>
      </c>
      <c r="AH38" s="2">
        <v>-0.20117417962974615</v>
      </c>
      <c r="AI38" s="2">
        <v>0.76998999999999995</v>
      </c>
      <c r="AJ38" s="2">
        <v>0.58567999999999998</v>
      </c>
      <c r="AK38" s="2">
        <v>0.94045000000000001</v>
      </c>
      <c r="AL38" s="2">
        <v>0.68653000000000008</v>
      </c>
      <c r="AM38" s="2">
        <v>0.88359999999999994</v>
      </c>
      <c r="AN38" s="2">
        <v>0.93264999999999998</v>
      </c>
      <c r="AO38" s="2">
        <v>0.74811000000000005</v>
      </c>
      <c r="AP38" s="2">
        <v>1.9616399999999998</v>
      </c>
      <c r="AQ38" s="2">
        <v>1.2601900000000001</v>
      </c>
      <c r="AR38" s="2">
        <v>0.62224999999999997</v>
      </c>
      <c r="AS38" s="2">
        <v>0.72197999999999996</v>
      </c>
      <c r="AT38" s="2">
        <v>0.87879999999999991</v>
      </c>
      <c r="AU38" s="2">
        <v>0.82421999999999995</v>
      </c>
      <c r="AV38" s="1">
        <v>777037.4</v>
      </c>
      <c r="AW38" s="1">
        <f>AV38/AU38</f>
        <v>942754.84700686717</v>
      </c>
      <c r="AX38" s="1">
        <f>AV38/EXP(AH38)</f>
        <v>950190.66331825289</v>
      </c>
      <c r="AY38" s="1">
        <v>204668.859</v>
      </c>
      <c r="AZ38" s="1">
        <f t="shared" si="1"/>
        <v>262847.53165694908</v>
      </c>
      <c r="BA38" s="1">
        <f t="shared" si="2"/>
        <v>220740.72518558585</v>
      </c>
      <c r="BB38" s="1">
        <v>450425.924</v>
      </c>
      <c r="BC38" s="1">
        <f t="shared" si="3"/>
        <v>531758.36609409133</v>
      </c>
      <c r="BD38" s="1">
        <f t="shared" si="4"/>
        <v>510694.89631067083</v>
      </c>
      <c r="BE38" s="1">
        <v>655094.78300000005</v>
      </c>
      <c r="BF38" s="1">
        <v>155028.217</v>
      </c>
      <c r="BG38" s="1">
        <v>11774.397000000001</v>
      </c>
      <c r="BH38" s="1">
        <v>2373.4569999999999</v>
      </c>
      <c r="BI38" s="1">
        <v>5198.7529999999997</v>
      </c>
      <c r="BJ38" s="1">
        <v>11759.376</v>
      </c>
      <c r="BK38" s="1">
        <v>18534.66</v>
      </c>
      <c r="BL38" s="2">
        <v>-7.5595472439033279E-2</v>
      </c>
      <c r="BM38" s="2">
        <v>0.68653000000000008</v>
      </c>
      <c r="BN38" s="2">
        <v>1.7392099999999999</v>
      </c>
      <c r="BO38" s="2">
        <v>0.74423000000000006</v>
      </c>
      <c r="BP38" s="2">
        <v>0.74695999999999996</v>
      </c>
      <c r="BQ38" s="2">
        <v>0.57460999999999995</v>
      </c>
      <c r="BR38" s="2">
        <v>1.77214</v>
      </c>
      <c r="BS38" s="2">
        <v>0.77866000000000002</v>
      </c>
      <c r="BT38" s="2">
        <v>0.84704999999999997</v>
      </c>
      <c r="BU38" s="2">
        <v>0.82421999999999995</v>
      </c>
      <c r="BV38">
        <v>1995</v>
      </c>
      <c r="BW38" s="1">
        <v>0</v>
      </c>
      <c r="BX38" s="1">
        <v>1</v>
      </c>
      <c r="BY38">
        <v>0</v>
      </c>
      <c r="BZ38">
        <v>0</v>
      </c>
      <c r="CA38">
        <v>1</v>
      </c>
      <c r="CB38">
        <v>1</v>
      </c>
      <c r="CC38">
        <v>0</v>
      </c>
      <c r="CD38">
        <v>0</v>
      </c>
    </row>
    <row r="39" spans="1:82" x14ac:dyDescent="0.2">
      <c r="A39" s="2">
        <v>0.13701894019143002</v>
      </c>
      <c r="B39" s="2">
        <v>3.7041572543376367E-2</v>
      </c>
      <c r="C39" s="2">
        <v>5.5683197414412869E-2</v>
      </c>
      <c r="D39" s="2">
        <v>0.23774143975669243</v>
      </c>
      <c r="E39" s="2">
        <v>5.5661067423947969E-2</v>
      </c>
      <c r="F39" s="2">
        <v>3.6214285179809604E-2</v>
      </c>
      <c r="G39" s="2">
        <v>0.14296246709946289</v>
      </c>
      <c r="H39" s="2">
        <v>2.2324023923438539E-2</v>
      </c>
      <c r="I39" s="2">
        <v>8.8323442971987631E-2</v>
      </c>
      <c r="J39" s="2">
        <v>6.3531361640332034E-3</v>
      </c>
      <c r="K39" s="2">
        <v>5.8686151097689584E-2</v>
      </c>
      <c r="L39" s="2">
        <v>0.12199027623371882</v>
      </c>
      <c r="M39" s="2">
        <v>0.23774143975669243</v>
      </c>
      <c r="N39" s="2">
        <v>1.7782915001970215E-2</v>
      </c>
      <c r="O39" s="2">
        <v>3.7629542107269652E-3</v>
      </c>
      <c r="P39" s="2">
        <v>8.3249035132562273E-3</v>
      </c>
      <c r="Q39" s="2">
        <v>1.8354887547393547E-2</v>
      </c>
      <c r="R39" s="2">
        <v>2.8548780936773384E-2</v>
      </c>
      <c r="S39" s="2">
        <v>0.31451588096681277</v>
      </c>
      <c r="T39" s="1">
        <v>93498.595000000001</v>
      </c>
      <c r="U39" s="1">
        <v>25276.323</v>
      </c>
      <c r="V39" s="1">
        <v>37996.942000000003</v>
      </c>
      <c r="W39" s="1">
        <v>162229.32800000001</v>
      </c>
      <c r="X39" s="1">
        <v>37981.841</v>
      </c>
      <c r="Y39" s="1">
        <v>24711.800999999999</v>
      </c>
      <c r="Z39" s="1">
        <v>97554.322</v>
      </c>
      <c r="AA39" s="1">
        <v>15233.404</v>
      </c>
      <c r="AB39" s="1">
        <v>60269.9</v>
      </c>
      <c r="AC39" s="1">
        <v>4335.2349999999997</v>
      </c>
      <c r="AD39" s="1">
        <v>40046.089</v>
      </c>
      <c r="AE39" s="1">
        <v>83243.377999999997</v>
      </c>
      <c r="AF39" s="1">
        <v>682377.15800000005</v>
      </c>
      <c r="AG39" s="1">
        <v>677650.75</v>
      </c>
      <c r="AH39" s="2">
        <v>-0.18634087352071349</v>
      </c>
      <c r="AI39" s="2">
        <v>0.77681</v>
      </c>
      <c r="AJ39" s="2">
        <v>0.61057000000000006</v>
      </c>
      <c r="AK39" s="2">
        <v>0.94846999999999992</v>
      </c>
      <c r="AL39" s="2">
        <v>0.70075999999999994</v>
      </c>
      <c r="AM39" s="2">
        <v>0.90227999999999997</v>
      </c>
      <c r="AN39" s="2">
        <v>0.94429000000000007</v>
      </c>
      <c r="AO39" s="2">
        <v>0.76533000000000007</v>
      </c>
      <c r="AP39" s="2">
        <v>1.9073800000000001</v>
      </c>
      <c r="AQ39" s="2">
        <v>1.26397</v>
      </c>
      <c r="AR39" s="2">
        <v>0.63151999999999997</v>
      </c>
      <c r="AS39" s="2">
        <v>0.73760999999999999</v>
      </c>
      <c r="AT39" s="2">
        <v>0.88962999999999992</v>
      </c>
      <c r="AU39" s="2">
        <v>0.83700999999999992</v>
      </c>
      <c r="AV39" s="1">
        <v>795981.3</v>
      </c>
      <c r="AW39" s="1">
        <f>AV39/AU39</f>
        <v>950981.82817409607</v>
      </c>
      <c r="AX39" s="1">
        <f>AV39/EXP(AH39)</f>
        <v>959024.44689351111</v>
      </c>
      <c r="AY39" s="1">
        <v>214618.45300000001</v>
      </c>
      <c r="AZ39" s="1">
        <f t="shared" si="1"/>
        <v>270675.30962290324</v>
      </c>
      <c r="BA39" s="1">
        <f t="shared" si="2"/>
        <v>230462.37263680855</v>
      </c>
      <c r="BB39" s="1">
        <v>463032.29700000002</v>
      </c>
      <c r="BC39" s="1">
        <f t="shared" si="3"/>
        <v>538967.41627963819</v>
      </c>
      <c r="BD39" s="1">
        <f t="shared" si="4"/>
        <v>519523.41865481227</v>
      </c>
      <c r="BE39" s="1">
        <v>677650.75</v>
      </c>
      <c r="BF39" s="1">
        <v>162229.32800000001</v>
      </c>
      <c r="BG39" s="1">
        <v>12134.655000000001</v>
      </c>
      <c r="BH39" s="1">
        <v>2567.7539999999999</v>
      </c>
      <c r="BI39" s="1">
        <v>5680.7240000000002</v>
      </c>
      <c r="BJ39" s="1">
        <v>12524.956</v>
      </c>
      <c r="BK39" s="1">
        <v>19481.036</v>
      </c>
      <c r="BL39" s="2">
        <v>-7.1225792370352564E-2</v>
      </c>
      <c r="BM39" s="2">
        <v>0.70075999999999994</v>
      </c>
      <c r="BN39" s="2">
        <v>1.7</v>
      </c>
      <c r="BO39" s="2">
        <v>0.76277000000000006</v>
      </c>
      <c r="BP39" s="2">
        <v>0.76505999999999996</v>
      </c>
      <c r="BQ39" s="2">
        <v>0.60104000000000002</v>
      </c>
      <c r="BR39" s="2">
        <v>1.7804800000000001</v>
      </c>
      <c r="BS39" s="2">
        <v>0.79290000000000005</v>
      </c>
      <c r="BT39" s="2">
        <v>0.85911000000000004</v>
      </c>
      <c r="BU39" s="2">
        <v>0.83700999999999992</v>
      </c>
      <c r="BV39">
        <v>1996</v>
      </c>
      <c r="BW39" s="1">
        <v>0</v>
      </c>
      <c r="BX39" s="1">
        <v>1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</row>
    <row r="40" spans="1:82" x14ac:dyDescent="0.2">
      <c r="A40" s="2">
        <v>0.13802833822890598</v>
      </c>
      <c r="B40" s="2">
        <v>3.735124138816507E-2</v>
      </c>
      <c r="C40" s="2">
        <v>5.5637976290929009E-2</v>
      </c>
      <c r="D40" s="2">
        <v>0.23931634571975097</v>
      </c>
      <c r="E40" s="2">
        <v>5.5778484616305628E-2</v>
      </c>
      <c r="F40" s="2">
        <v>3.6184187680221441E-2</v>
      </c>
      <c r="G40" s="2">
        <v>0.13611074324511302</v>
      </c>
      <c r="H40" s="2">
        <v>2.2709214014777386E-2</v>
      </c>
      <c r="I40" s="2">
        <v>8.9780837839990663E-2</v>
      </c>
      <c r="J40" s="2">
        <v>7.0629800835930638E-3</v>
      </c>
      <c r="K40" s="2">
        <v>5.9947495892758461E-2</v>
      </c>
      <c r="L40" s="2">
        <v>0.12209215499948929</v>
      </c>
      <c r="M40" s="2">
        <v>0.23931634571975097</v>
      </c>
      <c r="N40" s="2">
        <v>1.7859522894211912E-2</v>
      </c>
      <c r="O40" s="2">
        <v>4.0109331050906909E-3</v>
      </c>
      <c r="P40" s="2">
        <v>8.5510499095593946E-3</v>
      </c>
      <c r="Q40" s="2">
        <v>1.9136127640043927E-2</v>
      </c>
      <c r="R40" s="2">
        <v>2.4867053691081414E-2</v>
      </c>
      <c r="S40" s="2">
        <v>0.31374103295973826</v>
      </c>
      <c r="T40" s="1">
        <v>95772.237999999998</v>
      </c>
      <c r="U40" s="1">
        <v>25916.504000000001</v>
      </c>
      <c r="V40" s="1">
        <v>38604.923999999999</v>
      </c>
      <c r="W40" s="1">
        <v>166051.85800000001</v>
      </c>
      <c r="X40" s="1">
        <v>38702.417000000001</v>
      </c>
      <c r="Y40" s="1">
        <v>25106.733</v>
      </c>
      <c r="Z40" s="1">
        <v>94441.697</v>
      </c>
      <c r="AA40" s="1">
        <v>15756.998</v>
      </c>
      <c r="AB40" s="1">
        <v>62295.264000000003</v>
      </c>
      <c r="AC40" s="1">
        <v>4900.7139999999999</v>
      </c>
      <c r="AD40" s="1">
        <v>41595.124000000003</v>
      </c>
      <c r="AE40" s="1">
        <v>84714.77</v>
      </c>
      <c r="AF40" s="1">
        <v>693859.24100000004</v>
      </c>
      <c r="AG40" s="1">
        <v>687277.57</v>
      </c>
      <c r="AH40" s="2">
        <v>-0.17778919249766448</v>
      </c>
      <c r="AI40" s="2">
        <v>0.79016999999999993</v>
      </c>
      <c r="AJ40" s="2">
        <v>0.63934000000000002</v>
      </c>
      <c r="AK40" s="2">
        <v>0.95340999999999998</v>
      </c>
      <c r="AL40" s="2">
        <v>0.71431</v>
      </c>
      <c r="AM40" s="2">
        <v>0.9111499999999999</v>
      </c>
      <c r="AN40" s="2">
        <v>0.94894999999999996</v>
      </c>
      <c r="AO40" s="2">
        <v>0.77122000000000002</v>
      </c>
      <c r="AP40" s="2">
        <v>1.8427699999999998</v>
      </c>
      <c r="AQ40" s="2">
        <v>1.24671</v>
      </c>
      <c r="AR40" s="2">
        <v>0.64009000000000005</v>
      </c>
      <c r="AS40" s="2">
        <v>0.74946000000000002</v>
      </c>
      <c r="AT40" s="2">
        <v>0.87575000000000003</v>
      </c>
      <c r="AU40" s="2">
        <v>0.84346999999999994</v>
      </c>
      <c r="AV40" s="1">
        <v>817156.8</v>
      </c>
      <c r="AW40" s="1">
        <f>AV40/AU40</f>
        <v>968803.63261289685</v>
      </c>
      <c r="AX40" s="1">
        <f>AV40/EXP(AH40)</f>
        <v>976153.83381603367</v>
      </c>
      <c r="AY40" s="1">
        <v>217692.11499999999</v>
      </c>
      <c r="AZ40" s="1">
        <f t="shared" si="1"/>
        <v>273750.80480873212</v>
      </c>
      <c r="BA40" s="1">
        <f t="shared" si="2"/>
        <v>234186.39565217003</v>
      </c>
      <c r="BB40" s="1">
        <v>469585.45500000002</v>
      </c>
      <c r="BC40" s="1">
        <f t="shared" si="3"/>
        <v>541202.82480666623</v>
      </c>
      <c r="BD40" s="1">
        <f t="shared" si="4"/>
        <v>521445.03682401264</v>
      </c>
      <c r="BE40" s="1">
        <v>687277.57</v>
      </c>
      <c r="BF40" s="1">
        <v>166051.85800000001</v>
      </c>
      <c r="BG40" s="1">
        <v>12391.995000000001</v>
      </c>
      <c r="BH40" s="1">
        <v>2783.0230000000001</v>
      </c>
      <c r="BI40" s="1">
        <v>5933.2250000000004</v>
      </c>
      <c r="BJ40" s="1">
        <v>13277.779</v>
      </c>
      <c r="BK40" s="1">
        <v>17254.235000000001</v>
      </c>
      <c r="BL40" s="2">
        <v>-7.3035612869843308E-2</v>
      </c>
      <c r="BM40" s="2">
        <v>0.71431</v>
      </c>
      <c r="BN40" s="2">
        <v>1.6608699999999998</v>
      </c>
      <c r="BO40" s="2">
        <v>0.76922000000000001</v>
      </c>
      <c r="BP40" s="2">
        <v>0.77956999999999999</v>
      </c>
      <c r="BQ40" s="2">
        <v>0.63739000000000001</v>
      </c>
      <c r="BR40" s="2">
        <v>1.5082300000000002</v>
      </c>
      <c r="BS40" s="2">
        <v>0.79522000000000004</v>
      </c>
      <c r="BT40" s="2">
        <v>0.86766999999999994</v>
      </c>
      <c r="BU40" s="2">
        <v>0.84346999999999994</v>
      </c>
      <c r="BV40">
        <v>1997</v>
      </c>
      <c r="BW40" s="1">
        <v>0</v>
      </c>
      <c r="BX40" s="1">
        <v>1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</row>
    <row r="41" spans="1:82" x14ac:dyDescent="0.2">
      <c r="A41" s="2">
        <v>0.13609958150421056</v>
      </c>
      <c r="B41" s="2">
        <v>3.7382376543688214E-2</v>
      </c>
      <c r="C41" s="2">
        <v>5.4097263095728293E-2</v>
      </c>
      <c r="D41" s="2">
        <v>0.23839167207223996</v>
      </c>
      <c r="E41" s="2">
        <v>5.5419252702622761E-2</v>
      </c>
      <c r="F41" s="2">
        <v>3.5616848403806467E-2</v>
      </c>
      <c r="G41" s="2">
        <v>0.13880404770579688</v>
      </c>
      <c r="H41" s="2">
        <v>2.3105622986790236E-2</v>
      </c>
      <c r="I41" s="2">
        <v>9.2618352139099455E-2</v>
      </c>
      <c r="J41" s="2">
        <v>6.9179627090747283E-3</v>
      </c>
      <c r="K41" s="2">
        <v>6.1629132173104825E-2</v>
      </c>
      <c r="L41" s="2">
        <v>0.11991788796383758</v>
      </c>
      <c r="M41" s="2">
        <v>0.23839167207223996</v>
      </c>
      <c r="N41" s="2">
        <v>1.8292691211295682E-2</v>
      </c>
      <c r="O41" s="2">
        <v>4.2616989547482791E-3</v>
      </c>
      <c r="P41" s="2">
        <v>8.4815879014790291E-3</v>
      </c>
      <c r="Q41" s="2">
        <v>1.9447874780914004E-2</v>
      </c>
      <c r="R41" s="2">
        <v>2.2046672925212524E-2</v>
      </c>
      <c r="S41" s="2">
        <v>0.31092219784588948</v>
      </c>
      <c r="T41" s="1">
        <v>98469.542000000001</v>
      </c>
      <c r="U41" s="1">
        <v>27046.560000000001</v>
      </c>
      <c r="V41" s="1">
        <v>39139.964</v>
      </c>
      <c r="W41" s="1">
        <v>172478.99299999999</v>
      </c>
      <c r="X41" s="1">
        <v>40096.438000000002</v>
      </c>
      <c r="Y41" s="1">
        <v>25769.181</v>
      </c>
      <c r="Z41" s="1">
        <v>100426.253</v>
      </c>
      <c r="AA41" s="1">
        <v>16717.171999999999</v>
      </c>
      <c r="AB41" s="1">
        <v>67010.395000000004</v>
      </c>
      <c r="AC41" s="1">
        <v>5005.2219999999998</v>
      </c>
      <c r="AD41" s="1">
        <v>44589.353999999999</v>
      </c>
      <c r="AE41" s="1">
        <v>86761.909</v>
      </c>
      <c r="AF41" s="1">
        <v>723510.98300000001</v>
      </c>
      <c r="AG41" s="1">
        <v>716172.16700000002</v>
      </c>
      <c r="AH41" s="2">
        <v>-0.17471757752014397</v>
      </c>
      <c r="AI41" s="2">
        <v>0.80345</v>
      </c>
      <c r="AJ41" s="2">
        <v>0.65215000000000001</v>
      </c>
      <c r="AK41" s="2">
        <v>0.9515300000000001</v>
      </c>
      <c r="AL41" s="2">
        <v>0.72762000000000004</v>
      </c>
      <c r="AM41" s="2">
        <v>0.9211100000000001</v>
      </c>
      <c r="AN41" s="2">
        <v>0.95291999999999999</v>
      </c>
      <c r="AO41" s="2">
        <v>0.77064999999999995</v>
      </c>
      <c r="AP41" s="2">
        <v>1.70353</v>
      </c>
      <c r="AQ41" s="2">
        <v>1.2141599999999999</v>
      </c>
      <c r="AR41" s="2">
        <v>0.64879999999999993</v>
      </c>
      <c r="AS41" s="2">
        <v>0.76263000000000003</v>
      </c>
      <c r="AT41" s="2">
        <v>0.85620000000000007</v>
      </c>
      <c r="AU41" s="2">
        <v>0.84511999999999998</v>
      </c>
      <c r="AV41" s="1">
        <v>845668.7</v>
      </c>
      <c r="AW41" s="1">
        <f>AV41/AU41</f>
        <v>1000649.2569102612</v>
      </c>
      <c r="AX41" s="1">
        <f>AV41/EXP(AH41)</f>
        <v>1007115.167250684</v>
      </c>
      <c r="AY41" s="1">
        <v>224955.625</v>
      </c>
      <c r="AZ41" s="1">
        <f t="shared" si="1"/>
        <v>281800.40211454628</v>
      </c>
      <c r="BA41" s="1">
        <f t="shared" si="2"/>
        <v>241842.14253555916</v>
      </c>
      <c r="BB41" s="1">
        <v>491216.54300000001</v>
      </c>
      <c r="BC41" s="1">
        <f t="shared" si="3"/>
        <v>565520.24844291457</v>
      </c>
      <c r="BD41" s="1">
        <f t="shared" si="4"/>
        <v>544147.62706446927</v>
      </c>
      <c r="BE41" s="1">
        <v>716172.16700000002</v>
      </c>
      <c r="BF41" s="1">
        <v>172478.99299999999</v>
      </c>
      <c r="BG41" s="1">
        <v>13234.963</v>
      </c>
      <c r="BH41" s="1">
        <v>3083.386</v>
      </c>
      <c r="BI41" s="1">
        <v>6136.5219999999999</v>
      </c>
      <c r="BJ41" s="1">
        <v>14070.751</v>
      </c>
      <c r="BK41" s="1">
        <v>15951.01</v>
      </c>
      <c r="BL41" s="2">
        <v>-7.238204921074011E-2</v>
      </c>
      <c r="BM41" s="2">
        <v>0.72762000000000004</v>
      </c>
      <c r="BN41" s="2">
        <v>1.5328200000000001</v>
      </c>
      <c r="BO41" s="2">
        <v>0.80724000000000007</v>
      </c>
      <c r="BP41" s="2">
        <v>0.79846000000000006</v>
      </c>
      <c r="BQ41" s="2">
        <v>0.66079999999999994</v>
      </c>
      <c r="BR41" s="2">
        <v>1.34209</v>
      </c>
      <c r="BS41" s="2">
        <v>0.79827999999999999</v>
      </c>
      <c r="BT41" s="2">
        <v>0.86860999999999999</v>
      </c>
      <c r="BU41" s="2">
        <v>0.84511999999999998</v>
      </c>
      <c r="BV41">
        <v>1998</v>
      </c>
      <c r="BW41" s="1">
        <v>0</v>
      </c>
      <c r="BX41" s="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</row>
    <row r="42" spans="1:82" x14ac:dyDescent="0.2">
      <c r="A42" s="2">
        <v>0.13421306528773896</v>
      </c>
      <c r="B42" s="2">
        <v>3.7751894708940172E-2</v>
      </c>
      <c r="C42" s="2">
        <v>5.2987823753926036E-2</v>
      </c>
      <c r="D42" s="2">
        <v>0.23684836239729803</v>
      </c>
      <c r="E42" s="2">
        <v>5.5314863646595921E-2</v>
      </c>
      <c r="F42" s="2">
        <v>3.576473510853638E-2</v>
      </c>
      <c r="G42" s="2">
        <v>0.1437500539216037</v>
      </c>
      <c r="H42" s="2">
        <v>2.5425731684453473E-2</v>
      </c>
      <c r="I42" s="2">
        <v>9.3781929662990191E-2</v>
      </c>
      <c r="J42" s="2">
        <v>6.8586071171456873E-3</v>
      </c>
      <c r="K42" s="2">
        <v>6.3160276437630947E-2</v>
      </c>
      <c r="L42" s="2">
        <v>0.11414265627314048</v>
      </c>
      <c r="M42" s="2">
        <v>0.23684836239729803</v>
      </c>
      <c r="N42" s="2">
        <v>1.997169324129669E-2</v>
      </c>
      <c r="O42" s="2">
        <v>4.5777458699465066E-3</v>
      </c>
      <c r="P42" s="2">
        <v>8.680557282292542E-3</v>
      </c>
      <c r="Q42" s="2">
        <v>2.0277534904202872E-2</v>
      </c>
      <c r="R42" s="2">
        <v>1.4238984603644438E-2</v>
      </c>
      <c r="S42" s="2">
        <v>0.30459487696005322</v>
      </c>
      <c r="T42" s="1">
        <v>100261.67</v>
      </c>
      <c r="U42" s="1">
        <v>28201.934000000001</v>
      </c>
      <c r="V42" s="1">
        <v>39583.684999999998</v>
      </c>
      <c r="W42" s="1">
        <v>176933.68599999999</v>
      </c>
      <c r="X42" s="1">
        <v>41322.061999999998</v>
      </c>
      <c r="Y42" s="1">
        <v>26717.458999999999</v>
      </c>
      <c r="Z42" s="1">
        <v>107386.121</v>
      </c>
      <c r="AA42" s="1">
        <v>18993.876</v>
      </c>
      <c r="AB42" s="1">
        <v>70058.252999999997</v>
      </c>
      <c r="AC42" s="1">
        <v>5123.6099999999997</v>
      </c>
      <c r="AD42" s="1">
        <v>47182.849000000002</v>
      </c>
      <c r="AE42" s="1">
        <v>85268.4</v>
      </c>
      <c r="AF42" s="1">
        <v>747033.60499999998</v>
      </c>
      <c r="AG42" s="1">
        <v>737466.33799999999</v>
      </c>
      <c r="AH42" s="2">
        <v>-0.17795214454666797</v>
      </c>
      <c r="AI42" s="2">
        <v>0.80465000000000009</v>
      </c>
      <c r="AJ42" s="2">
        <v>0.67061999999999999</v>
      </c>
      <c r="AK42" s="2">
        <v>0.95250000000000001</v>
      </c>
      <c r="AL42" s="2">
        <v>0.73700999999999994</v>
      </c>
      <c r="AM42" s="2">
        <v>0.92445999999999995</v>
      </c>
      <c r="AN42" s="2">
        <v>0.95649000000000006</v>
      </c>
      <c r="AO42" s="2">
        <v>0.77864</v>
      </c>
      <c r="AP42" s="2">
        <v>1.5490999999999999</v>
      </c>
      <c r="AQ42" s="2">
        <v>1.1794100000000001</v>
      </c>
      <c r="AR42" s="2">
        <v>0.65447999999999995</v>
      </c>
      <c r="AS42" s="2">
        <v>0.77444999999999997</v>
      </c>
      <c r="AT42" s="2">
        <v>0.80688000000000004</v>
      </c>
      <c r="AU42" s="2">
        <v>0.84079999999999999</v>
      </c>
      <c r="AV42" s="1">
        <v>867141.7</v>
      </c>
      <c r="AW42" s="1">
        <f>AV42/AU42</f>
        <v>1031329.3292102759</v>
      </c>
      <c r="AX42" s="1">
        <f>AV42/EXP(AH42)</f>
        <v>1036033.2792299947</v>
      </c>
      <c r="AY42" s="1">
        <v>227542.609</v>
      </c>
      <c r="AZ42" s="1">
        <f t="shared" si="1"/>
        <v>290458.914461507</v>
      </c>
      <c r="BA42" s="1">
        <f t="shared" si="2"/>
        <v>245937.9848780311</v>
      </c>
      <c r="BB42" s="1">
        <v>509923.728</v>
      </c>
      <c r="BC42" s="1">
        <f t="shared" si="3"/>
        <v>586442.78222467576</v>
      </c>
      <c r="BD42" s="1">
        <f t="shared" si="4"/>
        <v>563671.37268933211</v>
      </c>
      <c r="BE42" s="1">
        <v>737466.33799999999</v>
      </c>
      <c r="BF42" s="1">
        <v>176933.68599999999</v>
      </c>
      <c r="BG42" s="1">
        <v>14919.526</v>
      </c>
      <c r="BH42" s="1">
        <v>3419.73</v>
      </c>
      <c r="BI42" s="1">
        <v>6484.6679999999997</v>
      </c>
      <c r="BJ42" s="1">
        <v>15148</v>
      </c>
      <c r="BK42" s="1">
        <v>10637</v>
      </c>
      <c r="BL42" s="2">
        <v>-7.7741896997904861E-2</v>
      </c>
      <c r="BM42" s="2">
        <v>0.73700999999999994</v>
      </c>
      <c r="BN42" s="2">
        <v>1.3788800000000001</v>
      </c>
      <c r="BO42" s="2">
        <v>0.80728999999999995</v>
      </c>
      <c r="BP42" s="2">
        <v>0.81444000000000005</v>
      </c>
      <c r="BQ42" s="2">
        <v>0.71697999999999995</v>
      </c>
      <c r="BR42" s="2">
        <v>0.84638000000000002</v>
      </c>
      <c r="BS42" s="2">
        <v>0.78339000000000003</v>
      </c>
      <c r="BT42" s="2">
        <v>0.86951999999999996</v>
      </c>
      <c r="BU42" s="2">
        <v>0.84079999999999999</v>
      </c>
      <c r="BV42">
        <v>1999</v>
      </c>
      <c r="BW42" s="1">
        <v>0</v>
      </c>
      <c r="BX42" s="1">
        <v>1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</row>
    <row r="43" spans="1:82" x14ac:dyDescent="0.2">
      <c r="A43" s="2">
        <v>0.13182551835095055</v>
      </c>
      <c r="B43" s="2">
        <v>3.7079496574059366E-2</v>
      </c>
      <c r="C43" s="2">
        <v>5.1821431195830867E-2</v>
      </c>
      <c r="D43" s="2">
        <v>0.23086137244230154</v>
      </c>
      <c r="E43" s="2">
        <v>5.4510893941138623E-2</v>
      </c>
      <c r="F43" s="2">
        <v>3.563962879521939E-2</v>
      </c>
      <c r="G43" s="2">
        <v>0.14340616478818713</v>
      </c>
      <c r="H43" s="2">
        <v>2.7461328326119912E-2</v>
      </c>
      <c r="I43" s="2">
        <v>9.4118977031574541E-2</v>
      </c>
      <c r="J43" s="2">
        <v>6.4914797046943572E-3</v>
      </c>
      <c r="K43" s="2">
        <v>6.4406828825450846E-2</v>
      </c>
      <c r="L43" s="2">
        <v>0.12237688002447303</v>
      </c>
      <c r="M43" s="2">
        <v>0.23086137244230154</v>
      </c>
      <c r="N43" s="2">
        <v>2.1977455381055763E-2</v>
      </c>
      <c r="O43" s="2">
        <v>4.663172832442347E-3</v>
      </c>
      <c r="P43" s="2">
        <v>8.399026361757175E-3</v>
      </c>
      <c r="Q43" s="2">
        <v>1.9954930853201866E-2</v>
      </c>
      <c r="R43" s="2">
        <v>2.1977151543657755E-2</v>
      </c>
      <c r="S43" s="2">
        <v>0.30783310941441644</v>
      </c>
      <c r="T43" s="1">
        <v>104562.342</v>
      </c>
      <c r="U43" s="1">
        <v>29410.99</v>
      </c>
      <c r="V43" s="1">
        <v>41104.107000000004</v>
      </c>
      <c r="W43" s="1">
        <v>183116.33499999999</v>
      </c>
      <c r="X43" s="1">
        <v>43237.355000000003</v>
      </c>
      <c r="Y43" s="1">
        <v>28268.904999999999</v>
      </c>
      <c r="Z43" s="1">
        <v>113747.965</v>
      </c>
      <c r="AA43" s="1">
        <v>21781.98</v>
      </c>
      <c r="AB43" s="1">
        <v>74653.987999999998</v>
      </c>
      <c r="AC43" s="1">
        <v>5148.96</v>
      </c>
      <c r="AD43" s="1">
        <v>51086.686000000002</v>
      </c>
      <c r="AE43" s="1">
        <v>97067.801000000007</v>
      </c>
      <c r="AF43" s="1">
        <v>793187.41399999987</v>
      </c>
      <c r="AG43" s="1">
        <v>781704.00100000005</v>
      </c>
      <c r="AH43" s="2">
        <v>-0.15310718628054701</v>
      </c>
      <c r="AI43" s="2">
        <v>0.82236999999999993</v>
      </c>
      <c r="AJ43" s="2">
        <v>0.68859999999999999</v>
      </c>
      <c r="AK43" s="2">
        <v>0.95432000000000006</v>
      </c>
      <c r="AL43" s="2">
        <v>0.75024000000000002</v>
      </c>
      <c r="AM43" s="2">
        <v>0.92781000000000002</v>
      </c>
      <c r="AN43" s="2">
        <v>0.95587</v>
      </c>
      <c r="AO43" s="2">
        <v>0.81496999999999997</v>
      </c>
      <c r="AP43" s="2">
        <v>1.41404</v>
      </c>
      <c r="AQ43" s="2">
        <v>1.16191</v>
      </c>
      <c r="AR43" s="2">
        <v>0.65912999999999999</v>
      </c>
      <c r="AS43" s="2">
        <v>0.79017999999999999</v>
      </c>
      <c r="AT43" s="2">
        <v>0.88132999999999995</v>
      </c>
      <c r="AU43" s="2">
        <v>0.85995999999999995</v>
      </c>
      <c r="AV43" s="1">
        <v>916987.4</v>
      </c>
      <c r="AW43" s="1">
        <f>AV43/AU43</f>
        <v>1066314.0146053305</v>
      </c>
      <c r="AX43" s="1">
        <f>AV43/EXP(AH43)</f>
        <v>1068702.8667421618</v>
      </c>
      <c r="AY43" s="1">
        <v>244169.348</v>
      </c>
      <c r="AZ43" s="1">
        <f t="shared" si="1"/>
        <v>301097.93447029951</v>
      </c>
      <c r="BA43" s="1">
        <f t="shared" si="2"/>
        <v>260290.14064019575</v>
      </c>
      <c r="BB43" s="1">
        <v>537534.65300000005</v>
      </c>
      <c r="BC43" s="1">
        <f t="shared" si="3"/>
        <v>607706.5254994178</v>
      </c>
      <c r="BD43" s="1">
        <f t="shared" si="4"/>
        <v>587669.96967539948</v>
      </c>
      <c r="BE43" s="1">
        <v>781704.00100000005</v>
      </c>
      <c r="BF43" s="1">
        <v>183116.33499999999</v>
      </c>
      <c r="BG43" s="1">
        <v>17432.241000000002</v>
      </c>
      <c r="BH43" s="1">
        <v>3698.77</v>
      </c>
      <c r="BI43" s="1">
        <v>6662.0020000000004</v>
      </c>
      <c r="BJ43" s="1">
        <v>15828</v>
      </c>
      <c r="BK43" s="1">
        <v>17432</v>
      </c>
      <c r="BL43" s="2">
        <v>-6.3934900639885606E-2</v>
      </c>
      <c r="BM43" s="2">
        <v>0.75024000000000002</v>
      </c>
      <c r="BN43" s="2">
        <v>1.25183</v>
      </c>
      <c r="BO43" s="2">
        <v>0.81629000000000007</v>
      </c>
      <c r="BP43" s="2">
        <v>0.82111999999999996</v>
      </c>
      <c r="BQ43" s="2">
        <v>0.74041999999999997</v>
      </c>
      <c r="BR43" s="2">
        <v>1.31803</v>
      </c>
      <c r="BS43" s="2">
        <v>0.81093000000000004</v>
      </c>
      <c r="BT43" s="2">
        <v>0.88453000000000004</v>
      </c>
      <c r="BU43" s="2">
        <v>0.85995999999999995</v>
      </c>
      <c r="BV43">
        <v>2000</v>
      </c>
      <c r="BW43" s="1">
        <v>0</v>
      </c>
      <c r="BX43" s="1">
        <v>1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</row>
    <row r="44" spans="1:82" x14ac:dyDescent="0.2">
      <c r="A44" s="2">
        <v>0.13366641220848471</v>
      </c>
      <c r="B44" s="2">
        <v>3.7117395945646281E-2</v>
      </c>
      <c r="C44" s="2">
        <v>4.9976111180749183E-2</v>
      </c>
      <c r="D44" s="2">
        <v>0.23063628580505388</v>
      </c>
      <c r="E44" s="2">
        <v>5.3351536828763688E-2</v>
      </c>
      <c r="F44" s="2">
        <v>3.5770921932733561E-2</v>
      </c>
      <c r="G44" s="2">
        <v>0.14108261562859495</v>
      </c>
      <c r="H44" s="2">
        <v>2.9096075078705694E-2</v>
      </c>
      <c r="I44" s="2">
        <v>9.3883650523424345E-2</v>
      </c>
      <c r="J44" s="2">
        <v>6.4383946316168318E-3</v>
      </c>
      <c r="K44" s="2">
        <v>6.4268468525392239E-2</v>
      </c>
      <c r="L44" s="2">
        <v>0.12471213171083448</v>
      </c>
      <c r="M44" s="2">
        <v>0.23063628580505388</v>
      </c>
      <c r="N44" s="2">
        <v>2.4056332069490982E-2</v>
      </c>
      <c r="O44" s="2">
        <v>4.9915878920135321E-3</v>
      </c>
      <c r="P44" s="2">
        <v>8.4772073540013565E-3</v>
      </c>
      <c r="Q44" s="2">
        <v>1.9325846097299076E-2</v>
      </c>
      <c r="R44" s="2">
        <v>2.5481020538942283E-2</v>
      </c>
      <c r="S44" s="2">
        <v>0.31296827975680108</v>
      </c>
      <c r="T44" s="1">
        <v>110621.837</v>
      </c>
      <c r="U44" s="1">
        <v>30718.222000000002</v>
      </c>
      <c r="V44" s="1">
        <v>41360.048000000003</v>
      </c>
      <c r="W44" s="1">
        <v>190873.75200000001</v>
      </c>
      <c r="X44" s="1">
        <v>44153.538</v>
      </c>
      <c r="Y44" s="1">
        <v>29603.884999999998</v>
      </c>
      <c r="Z44" s="1">
        <v>116759.46</v>
      </c>
      <c r="AA44" s="1">
        <v>24079.806</v>
      </c>
      <c r="AB44" s="1">
        <v>77697.767999999996</v>
      </c>
      <c r="AC44" s="1">
        <v>5328.3919999999998</v>
      </c>
      <c r="AD44" s="1">
        <v>53188.351000000002</v>
      </c>
      <c r="AE44" s="1">
        <v>103211.307</v>
      </c>
      <c r="AF44" s="1">
        <v>827596.36600000015</v>
      </c>
      <c r="AG44" s="1">
        <v>816548.43599999999</v>
      </c>
      <c r="AH44" s="2">
        <v>-0.13326430470797287</v>
      </c>
      <c r="AI44" s="2">
        <v>0.86702000000000001</v>
      </c>
      <c r="AJ44" s="2">
        <v>0.70992</v>
      </c>
      <c r="AK44" s="2">
        <v>0.96043000000000012</v>
      </c>
      <c r="AL44" s="2">
        <v>0.76629999999999998</v>
      </c>
      <c r="AM44" s="2">
        <v>0.94460999999999995</v>
      </c>
      <c r="AN44" s="2">
        <v>0.95191000000000003</v>
      </c>
      <c r="AO44" s="2">
        <v>0.81486000000000003</v>
      </c>
      <c r="AP44" s="2">
        <v>1.3393000000000002</v>
      </c>
      <c r="AQ44" s="2">
        <v>1.1534500000000001</v>
      </c>
      <c r="AR44" s="2">
        <v>0.67209999999999992</v>
      </c>
      <c r="AS44" s="2">
        <v>0.81086999999999998</v>
      </c>
      <c r="AT44" s="2">
        <v>0.9211100000000001</v>
      </c>
      <c r="AU44" s="2">
        <v>0.87646000000000002</v>
      </c>
      <c r="AV44" s="1">
        <v>964453.5</v>
      </c>
      <c r="AW44" s="1">
        <f>AV44/AU44</f>
        <v>1100396.481299774</v>
      </c>
      <c r="AX44" s="1">
        <f>AV44/EXP(AH44)</f>
        <v>1101938.2177384221</v>
      </c>
      <c r="AY44" s="1">
        <v>259011.41099999999</v>
      </c>
      <c r="AZ44" s="1">
        <f t="shared" si="1"/>
        <v>311281.86111912318</v>
      </c>
      <c r="BA44" s="1">
        <f t="shared" si="2"/>
        <v>273356.4103529423</v>
      </c>
      <c r="BB44" s="1">
        <v>557537.02500000002</v>
      </c>
      <c r="BC44" s="1">
        <f t="shared" si="3"/>
        <v>620381.69021920545</v>
      </c>
      <c r="BD44" s="1">
        <f t="shared" si="4"/>
        <v>603586.19823814894</v>
      </c>
      <c r="BE44" s="1">
        <v>816548.43599999999</v>
      </c>
      <c r="BF44" s="1">
        <v>190873.75200000001</v>
      </c>
      <c r="BG44" s="1">
        <v>19908.933000000001</v>
      </c>
      <c r="BH44" s="1">
        <v>4131.0200000000004</v>
      </c>
      <c r="BI44" s="1">
        <v>7015.7060000000001</v>
      </c>
      <c r="BJ44" s="1">
        <v>15994</v>
      </c>
      <c r="BK44" s="1">
        <v>21088</v>
      </c>
      <c r="BL44" s="2">
        <v>-5.3904357502782309E-2</v>
      </c>
      <c r="BM44" s="2">
        <v>0.76629999999999998</v>
      </c>
      <c r="BN44" s="2">
        <v>1.20617</v>
      </c>
      <c r="BO44" s="2">
        <v>0.83189999999999997</v>
      </c>
      <c r="BP44" s="2">
        <v>0.83349999999999991</v>
      </c>
      <c r="BQ44" s="2">
        <v>0.72483000000000009</v>
      </c>
      <c r="BR44" s="2">
        <v>1.58023</v>
      </c>
      <c r="BS44" s="2">
        <v>0.83207999999999993</v>
      </c>
      <c r="BT44" s="2">
        <v>0.89870000000000005</v>
      </c>
      <c r="BU44" s="2">
        <v>0.87646000000000002</v>
      </c>
      <c r="BV44">
        <v>2001</v>
      </c>
      <c r="BW44" s="1">
        <v>0</v>
      </c>
      <c r="BX44" s="1">
        <v>1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</row>
    <row r="45" spans="1:82" x14ac:dyDescent="0.2">
      <c r="A45" s="2">
        <v>0.13467267194398769</v>
      </c>
      <c r="B45" s="2">
        <v>3.7484703571603037E-2</v>
      </c>
      <c r="C45" s="2">
        <v>5.0359897609731759E-2</v>
      </c>
      <c r="D45" s="2">
        <v>0.23161971036208334</v>
      </c>
      <c r="E45" s="2">
        <v>5.3754556485669042E-2</v>
      </c>
      <c r="F45" s="2">
        <v>3.6463480547763931E-2</v>
      </c>
      <c r="G45" s="2">
        <v>0.13885247829242214</v>
      </c>
      <c r="H45" s="2">
        <v>3.1153007734278079E-2</v>
      </c>
      <c r="I45" s="2">
        <v>9.5670058277365466E-2</v>
      </c>
      <c r="J45" s="2">
        <v>6.5318818890633852E-3</v>
      </c>
      <c r="K45" s="2">
        <v>6.5133814286101266E-2</v>
      </c>
      <c r="L45" s="2">
        <v>0.11830373899993084</v>
      </c>
      <c r="M45" s="2">
        <v>0.23161971036208334</v>
      </c>
      <c r="N45" s="2">
        <v>2.6554665744225308E-2</v>
      </c>
      <c r="O45" s="2">
        <v>5.021878675596449E-3</v>
      </c>
      <c r="P45" s="2">
        <v>8.8358685738185415E-3</v>
      </c>
      <c r="Q45" s="2">
        <v>1.8914339950532509E-2</v>
      </c>
      <c r="R45" s="2">
        <v>2.0296284530432484E-2</v>
      </c>
      <c r="S45" s="2">
        <v>0.31124274783668865</v>
      </c>
      <c r="T45" s="1">
        <v>114797.952</v>
      </c>
      <c r="U45" s="1">
        <v>31952.787</v>
      </c>
      <c r="V45" s="1">
        <v>42927.885999999999</v>
      </c>
      <c r="W45" s="1">
        <v>197437.74299999999</v>
      </c>
      <c r="X45" s="1">
        <v>45821.567999999999</v>
      </c>
      <c r="Y45" s="1">
        <v>31082.274000000001</v>
      </c>
      <c r="Z45" s="1">
        <v>118360.91099999999</v>
      </c>
      <c r="AA45" s="1">
        <v>26555.51</v>
      </c>
      <c r="AB45" s="1">
        <v>81551.264999999999</v>
      </c>
      <c r="AC45" s="1">
        <v>5567.92</v>
      </c>
      <c r="AD45" s="1">
        <v>55521.498</v>
      </c>
      <c r="AE45" s="1">
        <v>100844.713</v>
      </c>
      <c r="AF45" s="1">
        <v>852422.027</v>
      </c>
      <c r="AG45" s="1">
        <v>840252.13300000003</v>
      </c>
      <c r="AH45" s="2">
        <v>-0.12148087144599851</v>
      </c>
      <c r="AI45" s="2">
        <v>0.89061000000000012</v>
      </c>
      <c r="AJ45" s="2">
        <v>0.74234999999999995</v>
      </c>
      <c r="AK45" s="2">
        <v>0.96852000000000005</v>
      </c>
      <c r="AL45" s="2">
        <v>0.78747</v>
      </c>
      <c r="AM45" s="2">
        <v>0.95860000000000001</v>
      </c>
      <c r="AN45" s="2">
        <v>0.95823999999999998</v>
      </c>
      <c r="AO45" s="2">
        <v>0.82245999999999997</v>
      </c>
      <c r="AP45" s="2">
        <v>1.2940100000000001</v>
      </c>
      <c r="AQ45" s="2">
        <v>1.1481999999999999</v>
      </c>
      <c r="AR45" s="2">
        <v>0.68357000000000001</v>
      </c>
      <c r="AS45" s="2">
        <v>0.84350999999999998</v>
      </c>
      <c r="AT45" s="2">
        <v>0.88485000000000003</v>
      </c>
      <c r="AU45" s="2">
        <v>0.88563000000000003</v>
      </c>
      <c r="AV45" s="1">
        <v>1003377.3</v>
      </c>
      <c r="AW45" s="1">
        <f>AV45/AU45</f>
        <v>1132953.1519934961</v>
      </c>
      <c r="AX45" s="1">
        <f>AV45/EXP(AH45)</f>
        <v>1132981.3046693464</v>
      </c>
      <c r="AY45" s="1">
        <v>265310.174</v>
      </c>
      <c r="AZ45" s="1">
        <f t="shared" si="1"/>
        <v>319085.68439029669</v>
      </c>
      <c r="BA45" s="1">
        <f t="shared" si="2"/>
        <v>280454.03413388261</v>
      </c>
      <c r="BB45" s="1">
        <v>574941.95900000003</v>
      </c>
      <c r="BC45" s="1">
        <f t="shared" si="3"/>
        <v>629845.59994741634</v>
      </c>
      <c r="BD45" s="1">
        <f t="shared" si="4"/>
        <v>614150.33003635914</v>
      </c>
      <c r="BE45" s="1">
        <v>840252.13300000003</v>
      </c>
      <c r="BF45" s="1">
        <v>197437.74299999999</v>
      </c>
      <c r="BG45" s="1">
        <v>22635.781999999999</v>
      </c>
      <c r="BH45" s="1">
        <v>4280.76</v>
      </c>
      <c r="BI45" s="1">
        <v>7531.8890000000001</v>
      </c>
      <c r="BJ45" s="1">
        <v>16123</v>
      </c>
      <c r="BK45" s="1">
        <v>17301</v>
      </c>
      <c r="BL45" s="2">
        <v>-5.5510230906735673E-2</v>
      </c>
      <c r="BM45" s="2">
        <v>0.78747</v>
      </c>
      <c r="BN45" s="2">
        <v>1.1793199999999999</v>
      </c>
      <c r="BO45" s="2">
        <v>0.84712999999999994</v>
      </c>
      <c r="BP45" s="2">
        <v>0.84810000000000008</v>
      </c>
      <c r="BQ45" s="2">
        <v>0.70113000000000003</v>
      </c>
      <c r="BR45" s="2">
        <v>1.2454799999999999</v>
      </c>
      <c r="BS45" s="2">
        <v>0.83147000000000004</v>
      </c>
      <c r="BT45" s="2">
        <v>0.91283000000000003</v>
      </c>
      <c r="BU45" s="2">
        <v>0.88563000000000003</v>
      </c>
      <c r="BV45">
        <v>2002</v>
      </c>
      <c r="BW45" s="1">
        <v>0</v>
      </c>
      <c r="BX45" s="1">
        <v>1</v>
      </c>
      <c r="BY45">
        <v>1</v>
      </c>
      <c r="BZ45">
        <v>0</v>
      </c>
      <c r="CA45">
        <v>0</v>
      </c>
      <c r="CB45">
        <v>1</v>
      </c>
      <c r="CC45">
        <v>0</v>
      </c>
      <c r="CD45">
        <v>0</v>
      </c>
    </row>
    <row r="46" spans="1:82" x14ac:dyDescent="0.2">
      <c r="A46" s="2">
        <v>0.13552011090232366</v>
      </c>
      <c r="B46" s="2">
        <v>3.6362982648221236E-2</v>
      </c>
      <c r="C46" s="2">
        <v>5.0209141947042728E-2</v>
      </c>
      <c r="D46" s="2">
        <v>0.23595912884959061</v>
      </c>
      <c r="E46" s="2">
        <v>5.4087208624642474E-2</v>
      </c>
      <c r="F46" s="2">
        <v>3.7265724641135353E-2</v>
      </c>
      <c r="G46" s="2">
        <v>0.13551357540314818</v>
      </c>
      <c r="H46" s="2">
        <v>3.2187335714728593E-2</v>
      </c>
      <c r="I46" s="2">
        <v>9.5953809767923601E-2</v>
      </c>
      <c r="J46" s="2">
        <v>6.7363713380518058E-3</v>
      </c>
      <c r="K46" s="2">
        <v>6.5792963498605611E-2</v>
      </c>
      <c r="L46" s="2">
        <v>0.11441164666458596</v>
      </c>
      <c r="M46" s="2">
        <v>0.23595912884959061</v>
      </c>
      <c r="N46" s="2">
        <v>2.7480973024550787E-2</v>
      </c>
      <c r="O46" s="2">
        <v>5.2133918135351988E-3</v>
      </c>
      <c r="P46" s="2">
        <v>8.7331074228359801E-3</v>
      </c>
      <c r="Q46" s="2">
        <v>2.0011552837391686E-2</v>
      </c>
      <c r="R46" s="2">
        <v>1.7955555795251203E-2</v>
      </c>
      <c r="S46" s="2">
        <v>0.31535370974315541</v>
      </c>
      <c r="T46" s="1">
        <v>119107.584</v>
      </c>
      <c r="U46" s="1">
        <v>31959.146000000001</v>
      </c>
      <c r="V46" s="1">
        <v>44128.428999999996</v>
      </c>
      <c r="W46" s="1">
        <v>207382.66500000001</v>
      </c>
      <c r="X46" s="1">
        <v>47536.832000000002</v>
      </c>
      <c r="Y46" s="1">
        <v>32752.559000000001</v>
      </c>
      <c r="Z46" s="1">
        <v>119101.84</v>
      </c>
      <c r="AA46" s="1">
        <v>28289.202000000001</v>
      </c>
      <c r="AB46" s="1">
        <v>84333.066000000006</v>
      </c>
      <c r="AC46" s="1">
        <v>5920.5450000000001</v>
      </c>
      <c r="AD46" s="1">
        <v>57824.93</v>
      </c>
      <c r="AE46" s="1">
        <v>100555.51700000001</v>
      </c>
      <c r="AF46" s="1">
        <v>878892.31500000018</v>
      </c>
      <c r="AG46" s="1">
        <v>868521.29200000002</v>
      </c>
      <c r="AH46" s="2">
        <v>-0.10451362370902278</v>
      </c>
      <c r="AI46" s="2">
        <v>0.91188000000000002</v>
      </c>
      <c r="AJ46" s="2">
        <v>0.79947999999999997</v>
      </c>
      <c r="AK46" s="2">
        <v>0.96411000000000002</v>
      </c>
      <c r="AL46" s="2">
        <v>0.81040999999999996</v>
      </c>
      <c r="AM46" s="2">
        <v>0.96936000000000011</v>
      </c>
      <c r="AN46" s="2">
        <v>0.97611000000000003</v>
      </c>
      <c r="AO46" s="2">
        <v>0.84050000000000002</v>
      </c>
      <c r="AP46" s="2">
        <v>1.2595799999999999</v>
      </c>
      <c r="AQ46" s="2">
        <v>1.1334600000000001</v>
      </c>
      <c r="AR46" s="2">
        <v>0.70365</v>
      </c>
      <c r="AS46" s="2">
        <v>0.86108999999999991</v>
      </c>
      <c r="AT46" s="2">
        <v>0.88832999999999995</v>
      </c>
      <c r="AU46" s="2">
        <v>0.90028000000000008</v>
      </c>
      <c r="AV46" s="1">
        <v>1029031.5</v>
      </c>
      <c r="AW46" s="1">
        <f>AV46/AU46</f>
        <v>1143012.7293730839</v>
      </c>
      <c r="AX46" s="1">
        <f>AV46/EXP(AH46)</f>
        <v>1142400.4338083242</v>
      </c>
      <c r="AY46" s="1">
        <v>277161.95199999999</v>
      </c>
      <c r="AZ46" s="1">
        <f t="shared" si="1"/>
        <v>326322.42538411723</v>
      </c>
      <c r="BA46" s="1">
        <f t="shared" si="2"/>
        <v>291517.10290296108</v>
      </c>
      <c r="BB46" s="1">
        <v>591359.34100000001</v>
      </c>
      <c r="BC46" s="1">
        <f t="shared" si="3"/>
        <v>638741.16026873479</v>
      </c>
      <c r="BD46" s="1">
        <f t="shared" si="4"/>
        <v>624181.25679229561</v>
      </c>
      <c r="BE46" s="1">
        <v>868521.29200000002</v>
      </c>
      <c r="BF46" s="1">
        <v>207382.66500000001</v>
      </c>
      <c r="BG46" s="1">
        <v>24152.815999999999</v>
      </c>
      <c r="BH46" s="1">
        <v>4582.01</v>
      </c>
      <c r="BI46" s="1">
        <v>7675.4610000000002</v>
      </c>
      <c r="BJ46" s="1">
        <v>17588</v>
      </c>
      <c r="BK46" s="1">
        <v>15781</v>
      </c>
      <c r="BL46" s="2">
        <v>-5.0496676523026272E-2</v>
      </c>
      <c r="BM46" s="2">
        <v>0.81040999999999996</v>
      </c>
      <c r="BN46" s="2">
        <v>1.17075</v>
      </c>
      <c r="BO46" s="2">
        <v>0.85748000000000002</v>
      </c>
      <c r="BP46" s="2">
        <v>0.86813000000000007</v>
      </c>
      <c r="BQ46" s="2">
        <v>0.74419999999999997</v>
      </c>
      <c r="BR46" s="2">
        <v>1.1637</v>
      </c>
      <c r="BS46" s="2">
        <v>0.84935000000000005</v>
      </c>
      <c r="BT46" s="2">
        <v>0.92581999999999998</v>
      </c>
      <c r="BU46" s="2">
        <v>0.90028000000000008</v>
      </c>
      <c r="BV46">
        <v>2003</v>
      </c>
      <c r="BW46" s="1">
        <v>0</v>
      </c>
      <c r="BX46" s="1">
        <v>1</v>
      </c>
      <c r="BY46">
        <v>1</v>
      </c>
      <c r="BZ46">
        <v>0</v>
      </c>
      <c r="CA46">
        <v>0</v>
      </c>
      <c r="CB46">
        <v>1</v>
      </c>
      <c r="CC46">
        <v>0</v>
      </c>
      <c r="CD46">
        <v>0</v>
      </c>
    </row>
    <row r="47" spans="1:82" x14ac:dyDescent="0.2">
      <c r="A47" s="2">
        <v>0.13173210026039467</v>
      </c>
      <c r="B47" s="2">
        <v>3.5599286395382693E-2</v>
      </c>
      <c r="C47" s="2">
        <v>4.8816439339161875E-2</v>
      </c>
      <c r="D47" s="2">
        <v>0.23709532560887753</v>
      </c>
      <c r="E47" s="2">
        <v>5.4079592463673644E-2</v>
      </c>
      <c r="F47" s="2">
        <v>3.7913140253464116E-2</v>
      </c>
      <c r="G47" s="2">
        <v>0.13688137337752909</v>
      </c>
      <c r="H47" s="2">
        <v>3.2480800604633459E-2</v>
      </c>
      <c r="I47" s="2">
        <v>9.6427624725231906E-2</v>
      </c>
      <c r="J47" s="2">
        <v>6.9449363938126063E-3</v>
      </c>
      <c r="K47" s="2">
        <v>6.508035171964302E-2</v>
      </c>
      <c r="L47" s="2">
        <v>0.11694902885819543</v>
      </c>
      <c r="M47" s="2">
        <v>0.23709532560887753</v>
      </c>
      <c r="N47" s="2">
        <v>2.7653278079134449E-2</v>
      </c>
      <c r="O47" s="2">
        <v>5.1341485222709806E-3</v>
      </c>
      <c r="P47" s="2">
        <v>8.6826961329389222E-3</v>
      </c>
      <c r="Q47" s="2">
        <v>2.0921049002595823E-2</v>
      </c>
      <c r="R47" s="2">
        <v>1.7924235370409356E-2</v>
      </c>
      <c r="S47" s="2">
        <v>0.31741073271622711</v>
      </c>
      <c r="T47" s="1">
        <v>120926.77499999999</v>
      </c>
      <c r="U47" s="1">
        <v>32679.255000000001</v>
      </c>
      <c r="V47" s="1">
        <v>44812.271000000001</v>
      </c>
      <c r="W47" s="1">
        <v>217647.58199999999</v>
      </c>
      <c r="X47" s="1">
        <v>49643.714</v>
      </c>
      <c r="Y47" s="1">
        <v>34803.315000000002</v>
      </c>
      <c r="Z47" s="1">
        <v>125653.679</v>
      </c>
      <c r="AA47" s="1">
        <v>29816.562999999998</v>
      </c>
      <c r="AB47" s="1">
        <v>88518.149000000005</v>
      </c>
      <c r="AC47" s="1">
        <v>6375.2780000000002</v>
      </c>
      <c r="AD47" s="1">
        <v>59742.135999999999</v>
      </c>
      <c r="AE47" s="1">
        <v>107356.285</v>
      </c>
      <c r="AF47" s="1">
        <v>917975.00199999998</v>
      </c>
      <c r="AG47" s="1">
        <v>905537.03500000003</v>
      </c>
      <c r="AH47" s="2">
        <v>-8.3601753526719849E-2</v>
      </c>
      <c r="AI47" s="2">
        <v>0.91339000000000004</v>
      </c>
      <c r="AJ47" s="2">
        <v>0.89218000000000008</v>
      </c>
      <c r="AK47" s="2">
        <v>0.96653000000000011</v>
      </c>
      <c r="AL47" s="2">
        <v>0.83659000000000006</v>
      </c>
      <c r="AM47" s="2">
        <v>0.97665000000000002</v>
      </c>
      <c r="AN47" s="2">
        <v>0.98160999999999998</v>
      </c>
      <c r="AO47" s="2">
        <v>0.86858999999999997</v>
      </c>
      <c r="AP47" s="2">
        <v>1.23166</v>
      </c>
      <c r="AQ47" s="2">
        <v>1.1151600000000002</v>
      </c>
      <c r="AR47" s="2">
        <v>0.74029999999999996</v>
      </c>
      <c r="AS47" s="2">
        <v>0.88453999999999988</v>
      </c>
      <c r="AT47" s="2">
        <v>0.92134000000000005</v>
      </c>
      <c r="AU47" s="2">
        <v>0.91915999999999998</v>
      </c>
      <c r="AV47" s="1">
        <v>1074974.8</v>
      </c>
      <c r="AW47" s="1">
        <f>AV47/AU47</f>
        <v>1169518.6909787199</v>
      </c>
      <c r="AX47" s="1">
        <f>AV47/EXP(AH47)</f>
        <v>1168708.1260158778</v>
      </c>
      <c r="AY47" s="1">
        <v>291375.11800000002</v>
      </c>
      <c r="AZ47" s="1">
        <f t="shared" si="1"/>
        <v>333236.25654749654</v>
      </c>
      <c r="BA47" s="1">
        <f t="shared" si="2"/>
        <v>303783.3609880135</v>
      </c>
      <c r="BB47" s="1">
        <v>614161.91700000002</v>
      </c>
      <c r="BC47" s="1">
        <f t="shared" si="3"/>
        <v>652295.08783482388</v>
      </c>
      <c r="BD47" s="1">
        <f t="shared" si="4"/>
        <v>640441.02376932011</v>
      </c>
      <c r="BE47" s="1">
        <v>905537.03500000003</v>
      </c>
      <c r="BF47" s="1">
        <v>217647.58199999999</v>
      </c>
      <c r="BG47" s="1">
        <v>25385.018</v>
      </c>
      <c r="BH47" s="1">
        <v>4713.0200000000004</v>
      </c>
      <c r="BI47" s="1">
        <v>7970.4979999999996</v>
      </c>
      <c r="BJ47" s="1">
        <v>19205</v>
      </c>
      <c r="BK47" s="1">
        <v>16454</v>
      </c>
      <c r="BL47" s="2">
        <v>-4.1703316704809014E-2</v>
      </c>
      <c r="BM47" s="2">
        <v>0.83659000000000006</v>
      </c>
      <c r="BN47" s="2">
        <v>1.1673199999999999</v>
      </c>
      <c r="BO47" s="2">
        <v>0.86581000000000008</v>
      </c>
      <c r="BP47" s="2">
        <v>0.88635999999999993</v>
      </c>
      <c r="BQ47" s="2">
        <v>0.79998000000000002</v>
      </c>
      <c r="BR47" s="2">
        <v>1.1676</v>
      </c>
      <c r="BS47" s="2">
        <v>0.87438000000000005</v>
      </c>
      <c r="BT47" s="2">
        <v>0.94153999999999993</v>
      </c>
      <c r="BU47" s="2">
        <v>0.91915999999999998</v>
      </c>
      <c r="BV47">
        <v>2004</v>
      </c>
      <c r="BW47" s="1">
        <v>0</v>
      </c>
      <c r="BX47" s="1">
        <v>1</v>
      </c>
      <c r="BY47">
        <v>1</v>
      </c>
      <c r="BZ47">
        <v>0</v>
      </c>
      <c r="CA47">
        <v>0</v>
      </c>
      <c r="CB47">
        <v>1</v>
      </c>
      <c r="CC47">
        <v>0</v>
      </c>
      <c r="CD47">
        <v>0</v>
      </c>
    </row>
    <row r="48" spans="1:82" x14ac:dyDescent="0.2">
      <c r="A48" s="2">
        <v>0.12848393628525392</v>
      </c>
      <c r="B48" s="2">
        <v>3.4046019818095866E-2</v>
      </c>
      <c r="C48" s="2">
        <v>4.7333972576804488E-2</v>
      </c>
      <c r="D48" s="2">
        <v>0.24094484779606254</v>
      </c>
      <c r="E48" s="2">
        <v>5.40381956604526E-2</v>
      </c>
      <c r="F48" s="2">
        <v>3.8236737489457828E-2</v>
      </c>
      <c r="G48" s="2">
        <v>0.13932484796365135</v>
      </c>
      <c r="H48" s="2">
        <v>3.2742884142973903E-2</v>
      </c>
      <c r="I48" s="2">
        <v>9.5524880391349321E-2</v>
      </c>
      <c r="J48" s="2">
        <v>7.1384328676300374E-3</v>
      </c>
      <c r="K48" s="2">
        <v>6.5169102891888875E-2</v>
      </c>
      <c r="L48" s="2">
        <v>0.11701614211637919</v>
      </c>
      <c r="M48" s="2">
        <v>0.24094484779606254</v>
      </c>
      <c r="N48" s="2">
        <v>2.8195234785456692E-2</v>
      </c>
      <c r="O48" s="2">
        <v>5.3378493176160155E-3</v>
      </c>
      <c r="P48" s="2">
        <v>8.6475385093559062E-3</v>
      </c>
      <c r="Q48" s="2">
        <v>2.1781311676426513E-2</v>
      </c>
      <c r="R48" s="2">
        <v>1.6410519968690397E-2</v>
      </c>
      <c r="S48" s="2">
        <v>0.32131730205360803</v>
      </c>
      <c r="T48" s="1">
        <v>122819.235</v>
      </c>
      <c r="U48" s="1">
        <v>32544.972000000002</v>
      </c>
      <c r="V48" s="1">
        <v>45247.074999999997</v>
      </c>
      <c r="W48" s="1">
        <v>230321.88099999999</v>
      </c>
      <c r="X48" s="1">
        <v>51655.716999999997</v>
      </c>
      <c r="Y48" s="1">
        <v>36550.925999999999</v>
      </c>
      <c r="Z48" s="1">
        <v>133182.18400000001</v>
      </c>
      <c r="AA48" s="1">
        <v>31299.29</v>
      </c>
      <c r="AB48" s="1">
        <v>91313.304000000004</v>
      </c>
      <c r="AC48" s="1">
        <v>6823.7079999999996</v>
      </c>
      <c r="AD48" s="1">
        <v>62295.875999999997</v>
      </c>
      <c r="AE48" s="1">
        <v>111857.042</v>
      </c>
      <c r="AF48" s="1">
        <v>955911.21000000008</v>
      </c>
      <c r="AG48" s="1">
        <v>945812.402</v>
      </c>
      <c r="AH48" s="2">
        <v>-6.6050210206485591E-2</v>
      </c>
      <c r="AI48" s="2">
        <v>0.91552000000000011</v>
      </c>
      <c r="AJ48" s="2">
        <v>0.89232</v>
      </c>
      <c r="AK48" s="2">
        <v>0.97016999999999998</v>
      </c>
      <c r="AL48" s="2">
        <v>0.87528000000000006</v>
      </c>
      <c r="AM48" s="2">
        <v>0.98132000000000008</v>
      </c>
      <c r="AN48" s="2">
        <v>0.98959000000000008</v>
      </c>
      <c r="AO48" s="2">
        <v>0.90490999999999999</v>
      </c>
      <c r="AP48" s="2">
        <v>1.21282</v>
      </c>
      <c r="AQ48" s="2">
        <v>1.0907800000000001</v>
      </c>
      <c r="AR48" s="2">
        <v>0.77516999999999991</v>
      </c>
      <c r="AS48" s="2">
        <v>0.90516000000000008</v>
      </c>
      <c r="AT48" s="2">
        <v>0.93179000000000001</v>
      </c>
      <c r="AU48" s="2">
        <v>0.93584000000000001</v>
      </c>
      <c r="AV48" s="1">
        <v>1105656.1000000001</v>
      </c>
      <c r="AW48" s="1">
        <f>AV48/AU48</f>
        <v>1181458.4758078305</v>
      </c>
      <c r="AX48" s="1">
        <f>AV48/EXP(AH48)</f>
        <v>1181150.6903487546</v>
      </c>
      <c r="AY48" s="1">
        <v>307150.81099999999</v>
      </c>
      <c r="AZ48" s="1">
        <f t="shared" si="1"/>
        <v>339678.41612846142</v>
      </c>
      <c r="BA48" s="1">
        <f t="shared" si="2"/>
        <v>317085.10978630831</v>
      </c>
      <c r="BB48" s="1">
        <v>638661.59100000001</v>
      </c>
      <c r="BC48" s="1">
        <f t="shared" si="3"/>
        <v>671180.2753402344</v>
      </c>
      <c r="BD48" s="1">
        <f t="shared" si="4"/>
        <v>660894.07526520675</v>
      </c>
      <c r="BE48" s="1">
        <v>945812.402</v>
      </c>
      <c r="BF48" s="1">
        <v>230321.88099999999</v>
      </c>
      <c r="BG48" s="1">
        <v>26952.141</v>
      </c>
      <c r="BH48" s="1">
        <v>5102.51</v>
      </c>
      <c r="BI48" s="1">
        <v>8266.2790000000005</v>
      </c>
      <c r="BJ48" s="1">
        <v>20821</v>
      </c>
      <c r="BK48" s="1">
        <v>15687</v>
      </c>
      <c r="BL48" s="2">
        <v>-3.1831354961746022E-2</v>
      </c>
      <c r="BM48" s="2">
        <v>0.87528000000000006</v>
      </c>
      <c r="BN48" s="2">
        <v>1.16815</v>
      </c>
      <c r="BO48" s="2">
        <v>0.89584999999999992</v>
      </c>
      <c r="BP48" s="2">
        <v>0.90307000000000004</v>
      </c>
      <c r="BQ48" s="2">
        <v>0.83432000000000006</v>
      </c>
      <c r="BR48" s="2">
        <v>1.08226</v>
      </c>
      <c r="BS48" s="2">
        <v>0.90424000000000004</v>
      </c>
      <c r="BT48" s="2">
        <v>0.95155000000000001</v>
      </c>
      <c r="BU48" s="2">
        <v>0.93584000000000001</v>
      </c>
      <c r="BV48">
        <v>2005</v>
      </c>
      <c r="BW48" s="1">
        <v>0</v>
      </c>
      <c r="BX48" s="1">
        <v>1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</row>
    <row r="49" spans="1:82" x14ac:dyDescent="0.2">
      <c r="A49" s="2">
        <v>0.12616636366059159</v>
      </c>
      <c r="B49" s="2">
        <v>3.3093691100155954E-2</v>
      </c>
      <c r="C49" s="2">
        <v>4.5949615344393541E-2</v>
      </c>
      <c r="D49" s="2">
        <v>0.2433181284490939</v>
      </c>
      <c r="E49" s="2">
        <v>5.3713924984731355E-2</v>
      </c>
      <c r="F49" s="2">
        <v>3.8633752071070004E-2</v>
      </c>
      <c r="G49" s="2">
        <v>0.13774252350839689</v>
      </c>
      <c r="H49" s="2">
        <v>3.1649573289626393E-2</v>
      </c>
      <c r="I49" s="2">
        <v>9.5242303686606938E-2</v>
      </c>
      <c r="J49" s="2">
        <v>7.5946138589019305E-3</v>
      </c>
      <c r="K49" s="2">
        <v>6.546198706977438E-2</v>
      </c>
      <c r="L49" s="2">
        <v>0.12143352297665706</v>
      </c>
      <c r="M49" s="2">
        <v>0.2433181284490939</v>
      </c>
      <c r="N49" s="2">
        <v>2.7103960846869463E-2</v>
      </c>
      <c r="O49" s="2">
        <v>5.3204129531366998E-3</v>
      </c>
      <c r="P49" s="2">
        <v>8.6075843966564834E-3</v>
      </c>
      <c r="Q49" s="2">
        <v>2.2566343926884194E-2</v>
      </c>
      <c r="R49" s="2">
        <v>1.834673507845478E-2</v>
      </c>
      <c r="S49" s="2">
        <v>0.32526316565109553</v>
      </c>
      <c r="T49" s="1">
        <v>125968.75900000001</v>
      </c>
      <c r="U49" s="1">
        <v>33041.858999999997</v>
      </c>
      <c r="V49" s="1">
        <v>45877.648000000001</v>
      </c>
      <c r="W49" s="1">
        <v>242937.038</v>
      </c>
      <c r="X49" s="1">
        <v>53629.796999999999</v>
      </c>
      <c r="Y49" s="1">
        <v>38573.243000000002</v>
      </c>
      <c r="Z49" s="1">
        <v>137526.788</v>
      </c>
      <c r="AA49" s="1">
        <v>31600.003000000001</v>
      </c>
      <c r="AB49" s="1">
        <v>95093.133000000002</v>
      </c>
      <c r="AC49" s="1">
        <v>7582.7190000000001</v>
      </c>
      <c r="AD49" s="1">
        <v>65359.459000000003</v>
      </c>
      <c r="AE49" s="1">
        <v>121243.33100000001</v>
      </c>
      <c r="AF49" s="1">
        <v>998433.77700000012</v>
      </c>
      <c r="AG49" s="1">
        <v>987164.12199999997</v>
      </c>
      <c r="AH49" s="2">
        <v>-4.5378758802637365E-2</v>
      </c>
      <c r="AI49" s="2">
        <v>0.93220000000000003</v>
      </c>
      <c r="AJ49" s="2">
        <v>0.89623999999999993</v>
      </c>
      <c r="AK49" s="2">
        <v>0.97206000000000004</v>
      </c>
      <c r="AL49" s="2">
        <v>0.91242000000000001</v>
      </c>
      <c r="AM49" s="2">
        <v>0.98801000000000005</v>
      </c>
      <c r="AN49" s="2">
        <v>0.99203999999999992</v>
      </c>
      <c r="AO49" s="2">
        <v>0.93052999999999997</v>
      </c>
      <c r="AP49" s="2">
        <v>1.13052</v>
      </c>
      <c r="AQ49" s="2">
        <v>1.0745199999999999</v>
      </c>
      <c r="AR49" s="2">
        <v>0.81552999999999998</v>
      </c>
      <c r="AS49" s="2">
        <v>0.92531999999999992</v>
      </c>
      <c r="AT49" s="2">
        <v>0.97948999999999997</v>
      </c>
      <c r="AU49" s="2">
        <v>0.95565</v>
      </c>
      <c r="AV49" s="1">
        <v>1155893.5</v>
      </c>
      <c r="AW49" s="1">
        <f>AV49/AU49</f>
        <v>1209536.4411656987</v>
      </c>
      <c r="AX49" s="1">
        <f>AV49/EXP(AH49)</f>
        <v>1209554.8468835801</v>
      </c>
      <c r="AY49" s="1">
        <v>324753.73100000003</v>
      </c>
      <c r="AZ49" s="1">
        <f t="shared" si="1"/>
        <v>345681.27541353548</v>
      </c>
      <c r="BA49" s="1">
        <f t="shared" si="2"/>
        <v>331186.61241616512</v>
      </c>
      <c r="BB49" s="1">
        <v>662410.39099999995</v>
      </c>
      <c r="BC49" s="1">
        <f t="shared" si="3"/>
        <v>687425.81646101631</v>
      </c>
      <c r="BD49" s="1">
        <f t="shared" si="4"/>
        <v>679698.41519369301</v>
      </c>
      <c r="BE49" s="1">
        <v>987164.12199999997</v>
      </c>
      <c r="BF49" s="1">
        <v>242937.038</v>
      </c>
      <c r="BG49" s="1">
        <v>27061.51</v>
      </c>
      <c r="BH49" s="1">
        <v>5312.08</v>
      </c>
      <c r="BI49" s="1">
        <v>8594.1029999999992</v>
      </c>
      <c r="BJ49" s="1">
        <v>22531</v>
      </c>
      <c r="BK49" s="1">
        <v>18318</v>
      </c>
      <c r="BL49" s="2">
        <v>-1.9614855923078892E-2</v>
      </c>
      <c r="BM49" s="2">
        <v>0.91242000000000001</v>
      </c>
      <c r="BN49" s="2">
        <v>1.09504</v>
      </c>
      <c r="BO49" s="2">
        <v>0.92200999999999989</v>
      </c>
      <c r="BP49" s="2">
        <v>0.91980000000000006</v>
      </c>
      <c r="BQ49" s="2">
        <v>0.88649</v>
      </c>
      <c r="BR49" s="2">
        <v>1.2501500000000001</v>
      </c>
      <c r="BS49" s="2">
        <v>0.93945999999999996</v>
      </c>
      <c r="BT49" s="2">
        <v>0.96361000000000008</v>
      </c>
      <c r="BU49" s="2">
        <v>0.95565</v>
      </c>
      <c r="BV49">
        <v>2006</v>
      </c>
      <c r="BW49" s="1">
        <v>0</v>
      </c>
      <c r="BX49" s="1">
        <v>1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0</v>
      </c>
    </row>
    <row r="50" spans="1:82" x14ac:dyDescent="0.2">
      <c r="A50" s="2">
        <v>0.12413956627372977</v>
      </c>
      <c r="B50" s="2">
        <v>3.2058767015001495E-2</v>
      </c>
      <c r="C50" s="2">
        <v>4.5117038468815714E-2</v>
      </c>
      <c r="D50" s="2">
        <v>0.24135981803714443</v>
      </c>
      <c r="E50" s="2">
        <v>5.4087039483243032E-2</v>
      </c>
      <c r="F50" s="2">
        <v>3.853110101460238E-2</v>
      </c>
      <c r="G50" s="2">
        <v>0.13835648040252685</v>
      </c>
      <c r="H50" s="2">
        <v>3.1530701617407071E-2</v>
      </c>
      <c r="I50" s="2">
        <v>9.4056140009772096E-2</v>
      </c>
      <c r="J50" s="2">
        <v>7.7641071586983176E-3</v>
      </c>
      <c r="K50" s="2">
        <v>6.5599627050486817E-2</v>
      </c>
      <c r="L50" s="2">
        <v>0.12739961346857204</v>
      </c>
      <c r="M50" s="2">
        <v>0.24135981803714443</v>
      </c>
      <c r="N50" s="2">
        <v>2.7105665774070874E-2</v>
      </c>
      <c r="O50" s="2">
        <v>5.285870500172719E-3</v>
      </c>
      <c r="P50" s="2">
        <v>8.6973098425711277E-3</v>
      </c>
      <c r="Q50" s="2">
        <v>2.2669387124571644E-2</v>
      </c>
      <c r="R50" s="2">
        <v>2.2789989336094024E-2</v>
      </c>
      <c r="S50" s="2">
        <v>0.32790804061462481</v>
      </c>
      <c r="T50" s="1">
        <v>129695.67600000001</v>
      </c>
      <c r="U50" s="1">
        <v>33493.620000000003</v>
      </c>
      <c r="V50" s="1">
        <v>47136.34</v>
      </c>
      <c r="W50" s="1">
        <v>252162.35</v>
      </c>
      <c r="X50" s="1">
        <v>56507.811000000002</v>
      </c>
      <c r="Y50" s="1">
        <v>40255.635999999999</v>
      </c>
      <c r="Z50" s="1">
        <v>144548.89600000001</v>
      </c>
      <c r="AA50" s="1">
        <v>32941.919999999998</v>
      </c>
      <c r="AB50" s="1">
        <v>98265.807000000001</v>
      </c>
      <c r="AC50" s="1">
        <v>8111.6049999999996</v>
      </c>
      <c r="AD50" s="1">
        <v>68535.667000000001</v>
      </c>
      <c r="AE50" s="1">
        <v>133101.633</v>
      </c>
      <c r="AF50" s="1">
        <v>1044756.961</v>
      </c>
      <c r="AG50" s="1">
        <v>1032729.947</v>
      </c>
      <c r="AH50" s="2">
        <v>-2.4067408449979528E-2</v>
      </c>
      <c r="AI50" s="2">
        <v>0.94506000000000001</v>
      </c>
      <c r="AJ50" s="2">
        <v>0.91276000000000002</v>
      </c>
      <c r="AK50" s="2">
        <v>0.97837000000000007</v>
      </c>
      <c r="AL50" s="2">
        <v>0.94172</v>
      </c>
      <c r="AM50" s="2">
        <v>0.99733000000000005</v>
      </c>
      <c r="AN50" s="2">
        <v>0.99748000000000003</v>
      </c>
      <c r="AO50" s="2">
        <v>0.95028999999999997</v>
      </c>
      <c r="AP50" s="2">
        <v>1.103</v>
      </c>
      <c r="AQ50" s="2">
        <v>1.05044</v>
      </c>
      <c r="AR50" s="2">
        <v>0.84849999999999992</v>
      </c>
      <c r="AS50" s="2">
        <v>0.95090999999999992</v>
      </c>
      <c r="AT50" s="2">
        <v>1.0441800000000001</v>
      </c>
      <c r="AU50" s="2">
        <v>0.97594999999999998</v>
      </c>
      <c r="AV50" s="1">
        <v>1216268.2</v>
      </c>
      <c r="AW50" s="1">
        <f>AV50/AU50</f>
        <v>1246240.2787028023</v>
      </c>
      <c r="AX50" s="1">
        <f>AV50/EXP(AH50)</f>
        <v>1245895.7222871808</v>
      </c>
      <c r="AY50" s="1">
        <v>342584.20799999998</v>
      </c>
      <c r="AZ50" s="1">
        <f t="shared" si="1"/>
        <v>350179.6036021302</v>
      </c>
      <c r="BA50" s="1">
        <f t="shared" si="2"/>
        <v>344218.29952596198</v>
      </c>
      <c r="BB50" s="1">
        <v>690145.73899999994</v>
      </c>
      <c r="BC50" s="1">
        <f t="shared" si="3"/>
        <v>708030.59174754284</v>
      </c>
      <c r="BD50" s="1">
        <f t="shared" si="4"/>
        <v>703601.14639271272</v>
      </c>
      <c r="BE50" s="1">
        <v>1032729.947</v>
      </c>
      <c r="BF50" s="1">
        <v>252162.35</v>
      </c>
      <c r="BG50" s="1">
        <v>28318.832999999999</v>
      </c>
      <c r="BH50" s="1">
        <v>5522.45</v>
      </c>
      <c r="BI50" s="1">
        <v>9086.5750000000007</v>
      </c>
      <c r="BJ50" s="1">
        <v>23684</v>
      </c>
      <c r="BK50" s="1">
        <v>23810</v>
      </c>
      <c r="BL50" s="2">
        <v>-4.7585574937988543E-3</v>
      </c>
      <c r="BM50" s="2">
        <v>0.94172</v>
      </c>
      <c r="BN50" s="2">
        <v>1.0799099999999999</v>
      </c>
      <c r="BO50" s="2">
        <v>0.95047999999999999</v>
      </c>
      <c r="BP50" s="2">
        <v>0.94121999999999995</v>
      </c>
      <c r="BQ50" s="2">
        <v>0.92569000000000001</v>
      </c>
      <c r="BR50" s="2">
        <v>1.5642500000000001</v>
      </c>
      <c r="BS50" s="2">
        <v>0.97831000000000001</v>
      </c>
      <c r="BT50" s="2">
        <v>0.97474000000000005</v>
      </c>
      <c r="BU50" s="2">
        <v>0.97594999999999998</v>
      </c>
      <c r="BV50">
        <v>2007</v>
      </c>
      <c r="BW50" s="1">
        <v>0</v>
      </c>
      <c r="BX50" s="1">
        <v>1</v>
      </c>
      <c r="BY50">
        <v>1</v>
      </c>
      <c r="BZ50">
        <v>0</v>
      </c>
      <c r="CA50">
        <v>0</v>
      </c>
      <c r="CB50">
        <v>1</v>
      </c>
      <c r="CC50">
        <v>1</v>
      </c>
      <c r="CD50">
        <v>0</v>
      </c>
    </row>
    <row r="51" spans="1:82" x14ac:dyDescent="0.2">
      <c r="A51" s="2">
        <v>0.12614472730501275</v>
      </c>
      <c r="B51" s="2">
        <v>3.1403043042816235E-2</v>
      </c>
      <c r="C51" s="2">
        <v>4.3082181153977023E-2</v>
      </c>
      <c r="D51" s="2">
        <v>0.24463149360091044</v>
      </c>
      <c r="E51" s="2">
        <v>5.1777000033423878E-2</v>
      </c>
      <c r="F51" s="2">
        <v>3.9295720344700746E-2</v>
      </c>
      <c r="G51" s="2">
        <v>0.13806024519820595</v>
      </c>
      <c r="H51" s="2">
        <v>3.158619302500771E-2</v>
      </c>
      <c r="I51" s="2">
        <v>9.1056540345840639E-2</v>
      </c>
      <c r="J51" s="2">
        <v>8.176499017935164E-3</v>
      </c>
      <c r="K51" s="2">
        <v>6.4332933444253171E-2</v>
      </c>
      <c r="L51" s="2">
        <v>0.13045342348791622</v>
      </c>
      <c r="M51" s="2">
        <v>0.24463149360091044</v>
      </c>
      <c r="N51" s="2">
        <v>2.7645306200204521E-2</v>
      </c>
      <c r="O51" s="2">
        <v>5.3092784765518767E-3</v>
      </c>
      <c r="P51" s="2">
        <v>8.8620292555368855E-3</v>
      </c>
      <c r="Q51" s="2">
        <v>2.258613686182279E-2</v>
      </c>
      <c r="R51" s="2">
        <v>2.4935629788429729E-2</v>
      </c>
      <c r="S51" s="2">
        <v>0.33396987418345625</v>
      </c>
      <c r="T51" s="1">
        <v>135889.87700000001</v>
      </c>
      <c r="U51" s="1">
        <v>33829.044999999998</v>
      </c>
      <c r="V51" s="1">
        <v>46410.44</v>
      </c>
      <c r="W51" s="1">
        <v>263530.18699999998</v>
      </c>
      <c r="X51" s="1">
        <v>55776.966</v>
      </c>
      <c r="Y51" s="1">
        <v>42331.461000000003</v>
      </c>
      <c r="Z51" s="1">
        <v>148725.913</v>
      </c>
      <c r="AA51" s="1">
        <v>34026.343999999997</v>
      </c>
      <c r="AB51" s="1">
        <v>98090.997000000003</v>
      </c>
      <c r="AC51" s="1">
        <v>8808.1640000000007</v>
      </c>
      <c r="AD51" s="1">
        <v>69302.892000000007</v>
      </c>
      <c r="AE51" s="1">
        <v>140531.43599999999</v>
      </c>
      <c r="AF51" s="1">
        <v>1077253.7220000001</v>
      </c>
      <c r="AG51" s="1">
        <v>1066598.0970000001</v>
      </c>
      <c r="AH51" s="2">
        <v>3.5778198622250616E-3</v>
      </c>
      <c r="AI51" s="2">
        <v>0.99007000000000001</v>
      </c>
      <c r="AJ51" s="2">
        <v>0.94495999999999991</v>
      </c>
      <c r="AK51" s="2">
        <v>0.98480999999999996</v>
      </c>
      <c r="AL51" s="2">
        <v>0.97203000000000006</v>
      </c>
      <c r="AM51" s="2">
        <v>0.98821999999999999</v>
      </c>
      <c r="AN51" s="2">
        <v>1.0026000000000002</v>
      </c>
      <c r="AO51" s="2">
        <v>0.99770999999999999</v>
      </c>
      <c r="AP51" s="2">
        <v>1.0929600000000002</v>
      </c>
      <c r="AQ51" s="2">
        <v>1.03321</v>
      </c>
      <c r="AR51" s="2">
        <v>0.90049999999999997</v>
      </c>
      <c r="AS51" s="2">
        <v>0.97935000000000005</v>
      </c>
      <c r="AT51" s="2">
        <v>1.0918099999999999</v>
      </c>
      <c r="AU51" s="2">
        <v>1.00326</v>
      </c>
      <c r="AV51" s="1">
        <v>1254095.8999999999</v>
      </c>
      <c r="AW51" s="1">
        <f>AV51/AU51</f>
        <v>1250020.832087395</v>
      </c>
      <c r="AX51" s="1">
        <f>AV51/EXP(AH51)</f>
        <v>1249616.987927933</v>
      </c>
      <c r="AY51" s="1">
        <v>359770.29</v>
      </c>
      <c r="AZ51" s="1">
        <f t="shared" si="1"/>
        <v>356621.32371162635</v>
      </c>
      <c r="BA51" s="1">
        <f t="shared" si="2"/>
        <v>357467.88360542286</v>
      </c>
      <c r="BB51" s="1">
        <v>706827.80799999996</v>
      </c>
      <c r="BC51" s="1">
        <f t="shared" si="3"/>
        <v>706531.06495271972</v>
      </c>
      <c r="BD51" s="1">
        <f t="shared" si="4"/>
        <v>708839.75520039385</v>
      </c>
      <c r="BE51" s="1">
        <v>1066598.0970000001</v>
      </c>
      <c r="BF51" s="1">
        <v>263530.18699999998</v>
      </c>
      <c r="BG51" s="1">
        <v>29781.008999999998</v>
      </c>
      <c r="BH51" s="1">
        <v>5719.44</v>
      </c>
      <c r="BI51" s="1">
        <v>9546.6540000000005</v>
      </c>
      <c r="BJ51" s="1">
        <v>24331</v>
      </c>
      <c r="BK51" s="1">
        <v>26862</v>
      </c>
      <c r="BL51" s="2">
        <v>6.4202224251983225E-3</v>
      </c>
      <c r="BM51" s="2">
        <v>0.97203000000000006</v>
      </c>
      <c r="BN51" s="2">
        <v>1.0816600000000001</v>
      </c>
      <c r="BO51" s="2">
        <v>0.96328999999999998</v>
      </c>
      <c r="BP51" s="2">
        <v>0.95700999999999992</v>
      </c>
      <c r="BQ51" s="2">
        <v>0.90944000000000003</v>
      </c>
      <c r="BR51" s="2">
        <v>1.74773</v>
      </c>
      <c r="BS51" s="2">
        <v>1.0088299999999999</v>
      </c>
      <c r="BT51" s="2">
        <v>1.0004200000000001</v>
      </c>
      <c r="BU51" s="2">
        <v>1.00326</v>
      </c>
      <c r="BV51">
        <v>2008</v>
      </c>
      <c r="BW51" s="1">
        <v>0</v>
      </c>
      <c r="BX51" s="1">
        <v>1</v>
      </c>
      <c r="BY51">
        <v>1</v>
      </c>
      <c r="BZ51">
        <v>0</v>
      </c>
      <c r="CA51">
        <v>0</v>
      </c>
      <c r="CB51">
        <v>0</v>
      </c>
      <c r="CC51">
        <v>1</v>
      </c>
      <c r="CD51">
        <v>0</v>
      </c>
    </row>
    <row r="52" spans="1:82" x14ac:dyDescent="0.2">
      <c r="A52" s="2">
        <v>0.12857148433783458</v>
      </c>
      <c r="B52" s="2">
        <v>3.2908772424324113E-2</v>
      </c>
      <c r="C52" s="2">
        <v>4.2461672888554153E-2</v>
      </c>
      <c r="D52" s="2">
        <v>0.25180073192643554</v>
      </c>
      <c r="E52" s="2">
        <v>5.1548778549306069E-2</v>
      </c>
      <c r="F52" s="2">
        <v>4.1085226829200565E-2</v>
      </c>
      <c r="G52" s="2">
        <v>0.13492170500866413</v>
      </c>
      <c r="H52" s="2">
        <v>3.2409556464607525E-2</v>
      </c>
      <c r="I52" s="2">
        <v>9.0889018863092516E-2</v>
      </c>
      <c r="J52" s="2">
        <v>8.4851068363134101E-3</v>
      </c>
      <c r="K52" s="2">
        <v>6.426191877915105E-2</v>
      </c>
      <c r="L52" s="2">
        <v>0.12065602709251654</v>
      </c>
      <c r="M52" s="2">
        <v>0.25180073192643554</v>
      </c>
      <c r="N52" s="2">
        <v>2.8510375019483926E-2</v>
      </c>
      <c r="O52" s="2">
        <v>5.2869949815150747E-3</v>
      </c>
      <c r="P52" s="2">
        <v>9.200948390864461E-3</v>
      </c>
      <c r="Q52" s="2">
        <v>2.4608931779518464E-2</v>
      </c>
      <c r="R52" s="2">
        <v>1.8224574708190937E-2</v>
      </c>
      <c r="S52" s="2">
        <v>0.3376325568060084</v>
      </c>
      <c r="T52" s="1">
        <v>136257.20699999999</v>
      </c>
      <c r="U52" s="1">
        <v>34875.987000000001</v>
      </c>
      <c r="V52" s="1">
        <v>44999.938999999998</v>
      </c>
      <c r="W52" s="1">
        <v>266852.83</v>
      </c>
      <c r="X52" s="1">
        <v>54630.252</v>
      </c>
      <c r="Y52" s="1">
        <v>43541.212</v>
      </c>
      <c r="Z52" s="1">
        <v>142987.03</v>
      </c>
      <c r="AA52" s="1">
        <v>34346.928999999996</v>
      </c>
      <c r="AB52" s="1">
        <v>96322.165999999997</v>
      </c>
      <c r="AC52" s="1">
        <v>8992.3279999999995</v>
      </c>
      <c r="AD52" s="1">
        <v>68103.356</v>
      </c>
      <c r="AE52" s="1">
        <v>127868.58100000001</v>
      </c>
      <c r="AF52" s="1">
        <v>1059777.8169999998</v>
      </c>
      <c r="AG52" s="1">
        <v>1051463.202</v>
      </c>
      <c r="AH52" s="2">
        <v>-1.179351557752582E-2</v>
      </c>
      <c r="AI52" s="2">
        <v>0.98950999999999989</v>
      </c>
      <c r="AJ52" s="2">
        <v>0.96599999999999997</v>
      </c>
      <c r="AK52" s="2">
        <v>0.99485000000000001</v>
      </c>
      <c r="AL52" s="2">
        <v>0.98019000000000001</v>
      </c>
      <c r="AM52" s="2">
        <v>0.99998000000000009</v>
      </c>
      <c r="AN52" s="2">
        <v>1.0006699999999999</v>
      </c>
      <c r="AO52" s="2">
        <v>0.96715000000000007</v>
      </c>
      <c r="AP52" s="2">
        <v>1.0541200000000002</v>
      </c>
      <c r="AQ52" s="2">
        <v>1.0136100000000001</v>
      </c>
      <c r="AR52" s="2">
        <v>0.97040999999999999</v>
      </c>
      <c r="AS52" s="2">
        <v>0.99444999999999995</v>
      </c>
      <c r="AT52" s="2">
        <v>0.98448999999999998</v>
      </c>
      <c r="AU52" s="2">
        <v>0.98829999999999996</v>
      </c>
      <c r="AV52" s="1">
        <v>1255298.209</v>
      </c>
      <c r="AW52" s="1">
        <f>AV52/AU52</f>
        <v>1270159.0701204089</v>
      </c>
      <c r="AX52" s="1">
        <f>AV52/EXP(AH52)</f>
        <v>1270190.230016378</v>
      </c>
      <c r="AY52" s="1">
        <v>357815.49400000001</v>
      </c>
      <c r="AZ52" s="1">
        <f t="shared" si="1"/>
        <v>359624.40475592227</v>
      </c>
      <c r="BA52" s="1">
        <f t="shared" si="2"/>
        <v>358244.21204298391</v>
      </c>
      <c r="BB52" s="1">
        <v>693647.70799999998</v>
      </c>
      <c r="BC52" s="1">
        <f t="shared" si="3"/>
        <v>704289.5226878128</v>
      </c>
      <c r="BD52" s="1">
        <f t="shared" si="4"/>
        <v>701036.73201667948</v>
      </c>
      <c r="BE52" s="1">
        <v>1051463.202</v>
      </c>
      <c r="BF52" s="1">
        <v>266852.83</v>
      </c>
      <c r="BG52" s="1">
        <v>30214.663</v>
      </c>
      <c r="BH52" s="1">
        <v>5603.04</v>
      </c>
      <c r="BI52" s="1">
        <v>9750.9609999999993</v>
      </c>
      <c r="BJ52" s="1">
        <v>26080</v>
      </c>
      <c r="BK52" s="1">
        <v>19314</v>
      </c>
      <c r="BL52" s="2">
        <v>-1.1974367237605277E-3</v>
      </c>
      <c r="BM52" s="2">
        <v>0.98019000000000001</v>
      </c>
      <c r="BN52" s="2">
        <v>1.04979</v>
      </c>
      <c r="BO52" s="2">
        <v>0.99104000000000003</v>
      </c>
      <c r="BP52" s="2">
        <v>0.97920000000000007</v>
      </c>
      <c r="BQ52" s="2">
        <v>0.94427000000000005</v>
      </c>
      <c r="BR52" s="2">
        <v>1.25281</v>
      </c>
      <c r="BS52" s="2">
        <v>0.99497000000000002</v>
      </c>
      <c r="BT52" s="2">
        <v>0.98489000000000004</v>
      </c>
      <c r="BU52" s="2">
        <v>0.98829999999999996</v>
      </c>
      <c r="BV52">
        <v>2009</v>
      </c>
      <c r="BW52" s="1">
        <v>0</v>
      </c>
      <c r="BX52" s="1">
        <v>1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0</v>
      </c>
    </row>
    <row r="53" spans="1:82" x14ac:dyDescent="0.2">
      <c r="A53" s="2">
        <v>0.12914990452502392</v>
      </c>
      <c r="B53" s="2">
        <v>3.3531458147361859E-2</v>
      </c>
      <c r="C53" s="2">
        <v>4.1397684633804041E-2</v>
      </c>
      <c r="D53" s="2">
        <v>0.25425132404654821</v>
      </c>
      <c r="E53" s="2">
        <v>5.1463191529797801E-2</v>
      </c>
      <c r="F53" s="2">
        <v>4.0977843146264556E-2</v>
      </c>
      <c r="G53" s="2">
        <v>0.13479289724354562</v>
      </c>
      <c r="H53" s="2">
        <v>3.1602315328533449E-2</v>
      </c>
      <c r="I53" s="2">
        <v>8.9529380690484814E-2</v>
      </c>
      <c r="J53" s="2">
        <v>8.6353988067029552E-3</v>
      </c>
      <c r="K53" s="2">
        <v>6.3971828910479436E-2</v>
      </c>
      <c r="L53" s="2">
        <v>0.12069677299145343</v>
      </c>
      <c r="M53" s="2">
        <v>0.25425132404654821</v>
      </c>
      <c r="N53" s="2">
        <v>2.800227419482262E-2</v>
      </c>
      <c r="O53" s="2">
        <v>5.2231916492890074E-3</v>
      </c>
      <c r="P53" s="2">
        <v>9.2731638627594672E-3</v>
      </c>
      <c r="Q53" s="2">
        <v>2.4904107176702394E-2</v>
      </c>
      <c r="R53" s="2">
        <v>1.4160186349779329E-2</v>
      </c>
      <c r="S53" s="2">
        <v>0.33581424636130314</v>
      </c>
      <c r="T53" s="1">
        <v>140594.603</v>
      </c>
      <c r="U53" s="1">
        <v>36502.868999999999</v>
      </c>
      <c r="V53" s="1">
        <v>45066.165999999997</v>
      </c>
      <c r="W53" s="1">
        <v>276781.962</v>
      </c>
      <c r="X53" s="1">
        <v>56023.633999999998</v>
      </c>
      <c r="Y53" s="1">
        <v>44609.120000000003</v>
      </c>
      <c r="Z53" s="1">
        <v>146737.65299999999</v>
      </c>
      <c r="AA53" s="1">
        <v>34402.773999999998</v>
      </c>
      <c r="AB53" s="1">
        <v>97463.081999999995</v>
      </c>
      <c r="AC53" s="1">
        <v>9400.6299999999992</v>
      </c>
      <c r="AD53" s="1">
        <v>69640.732000000004</v>
      </c>
      <c r="AE53" s="1">
        <v>131392.39199999999</v>
      </c>
      <c r="AF53" s="1">
        <v>1088615.6169999999</v>
      </c>
      <c r="AG53" s="1">
        <v>1082393.7</v>
      </c>
      <c r="AH53" s="2">
        <v>0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1">
        <v>1285390.2620000001</v>
      </c>
      <c r="AW53" s="1">
        <f>AV53/AU53</f>
        <v>1285390.2620000001</v>
      </c>
      <c r="AX53" s="1">
        <f>AV53/EXP(AH53)</f>
        <v>1285390.2620000001</v>
      </c>
      <c r="AY53" s="1">
        <v>365572.63299999997</v>
      </c>
      <c r="AZ53" s="1">
        <f t="shared" si="1"/>
        <v>365572.63299999997</v>
      </c>
      <c r="BA53" s="1">
        <f t="shared" si="2"/>
        <v>365572.63299999997</v>
      </c>
      <c r="BB53" s="1">
        <v>716821.06700000004</v>
      </c>
      <c r="BC53" s="1">
        <f t="shared" si="3"/>
        <v>716821.06700000004</v>
      </c>
      <c r="BD53" s="1">
        <f t="shared" si="4"/>
        <v>716821.06700000004</v>
      </c>
      <c r="BE53" s="1">
        <v>1082393.7</v>
      </c>
      <c r="BF53" s="1">
        <v>276781.962</v>
      </c>
      <c r="BG53" s="1">
        <v>30483.713</v>
      </c>
      <c r="BH53" s="1">
        <v>5686.0479999999998</v>
      </c>
      <c r="BI53" s="1">
        <v>10094.911</v>
      </c>
      <c r="BJ53" s="1">
        <v>27111</v>
      </c>
      <c r="BK53" s="1">
        <v>15415</v>
      </c>
      <c r="BL53" s="2">
        <v>0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>
        <v>2010</v>
      </c>
      <c r="BW53" s="1">
        <v>0</v>
      </c>
      <c r="BX53" s="1">
        <v>1</v>
      </c>
      <c r="BY53">
        <v>1</v>
      </c>
      <c r="BZ53">
        <v>0</v>
      </c>
      <c r="CA53">
        <v>0</v>
      </c>
      <c r="CB53">
        <v>0</v>
      </c>
      <c r="CC53">
        <v>1</v>
      </c>
      <c r="CD53">
        <v>0</v>
      </c>
    </row>
    <row r="54" spans="1:82" x14ac:dyDescent="0.2">
      <c r="A54" s="2">
        <v>0.12971756964031775</v>
      </c>
      <c r="B54" s="2">
        <v>3.4323515331043587E-2</v>
      </c>
      <c r="C54" s="2">
        <v>4.0205634326216697E-2</v>
      </c>
      <c r="D54" s="2">
        <v>0.25246043452166006</v>
      </c>
      <c r="E54" s="2">
        <v>5.1338112970914021E-2</v>
      </c>
      <c r="F54" s="2">
        <v>4.1649549502567475E-2</v>
      </c>
      <c r="G54" s="2">
        <v>0.13832621748822832</v>
      </c>
      <c r="H54" s="2">
        <v>3.0020665879986082E-2</v>
      </c>
      <c r="I54" s="2">
        <v>8.7976777869665096E-2</v>
      </c>
      <c r="J54" s="2">
        <v>8.5599296475073576E-3</v>
      </c>
      <c r="K54" s="2">
        <v>6.4589498490904146E-2</v>
      </c>
      <c r="L54" s="2">
        <v>0.12083209433098945</v>
      </c>
      <c r="M54" s="2">
        <v>0.25246043452166006</v>
      </c>
      <c r="N54" s="2">
        <v>2.641333225198738E-2</v>
      </c>
      <c r="O54" s="2">
        <v>5.1223924583048003E-3</v>
      </c>
      <c r="P54" s="2">
        <v>9.3930243399082663E-3</v>
      </c>
      <c r="Q54" s="2">
        <v>2.4034132658840995E-2</v>
      </c>
      <c r="R54" s="2">
        <v>1.4251891461239296E-2</v>
      </c>
      <c r="S54" s="2">
        <v>0.33167520769194081</v>
      </c>
      <c r="T54" s="1">
        <v>144499.84700000001</v>
      </c>
      <c r="U54" s="1">
        <v>38234.934000000001</v>
      </c>
      <c r="V54" s="1">
        <v>44787.364000000001</v>
      </c>
      <c r="W54" s="1">
        <v>281230.17</v>
      </c>
      <c r="X54" s="1">
        <v>57188.470999999998</v>
      </c>
      <c r="Y54" s="1">
        <v>46395.824000000001</v>
      </c>
      <c r="Z54" s="1">
        <v>154089.514</v>
      </c>
      <c r="AA54" s="1">
        <v>33441.743000000002</v>
      </c>
      <c r="AB54" s="1">
        <v>98002.383000000002</v>
      </c>
      <c r="AC54" s="1">
        <v>9535.3970000000008</v>
      </c>
      <c r="AD54" s="1">
        <v>71949.95</v>
      </c>
      <c r="AE54" s="1">
        <v>134601.80600000001</v>
      </c>
      <c r="AF54" s="1">
        <v>1113957.4029999999</v>
      </c>
      <c r="AG54" s="1">
        <v>1106881</v>
      </c>
      <c r="AH54" s="2">
        <v>1.8238737477884907E-2</v>
      </c>
      <c r="AI54" s="2">
        <v>1.01661</v>
      </c>
      <c r="AJ54" s="2">
        <v>1.04494</v>
      </c>
      <c r="AK54" s="2">
        <v>1.00681</v>
      </c>
      <c r="AL54" s="2">
        <v>1.02434</v>
      </c>
      <c r="AM54" s="2">
        <v>1.00725</v>
      </c>
      <c r="AN54" s="2">
        <v>1.0025500000000001</v>
      </c>
      <c r="AO54" s="2">
        <v>1.0481100000000001</v>
      </c>
      <c r="AP54" s="2">
        <v>0.93819999999999992</v>
      </c>
      <c r="AQ54" s="2">
        <v>0.99260999999999999</v>
      </c>
      <c r="AR54" s="2">
        <v>1.0191600000000001</v>
      </c>
      <c r="AS54" s="2">
        <v>1.02033</v>
      </c>
      <c r="AT54" s="2">
        <v>1.0198700000000001</v>
      </c>
      <c r="AU54" s="2">
        <v>1.01817</v>
      </c>
      <c r="AV54" s="1">
        <v>1311387.8959999999</v>
      </c>
      <c r="AW54" s="1">
        <f>AV54/AU54</f>
        <v>1287985.2048282702</v>
      </c>
      <c r="AX54" s="1">
        <f>AV54/EXP(AH54)</f>
        <v>1287686.6339990871</v>
      </c>
      <c r="AY54" s="1">
        <v>369472.05300000001</v>
      </c>
      <c r="AZ54" s="1">
        <f t="shared" si="1"/>
        <v>364600.98385568801</v>
      </c>
      <c r="BA54" s="1">
        <f t="shared" si="2"/>
        <v>367811.0096742622</v>
      </c>
      <c r="BB54" s="1">
        <v>737408.94700000004</v>
      </c>
      <c r="BC54" s="1">
        <f t="shared" si="3"/>
        <v>722524.93337252608</v>
      </c>
      <c r="BD54" s="1">
        <f t="shared" si="4"/>
        <v>727351.41578987555</v>
      </c>
      <c r="BE54" s="1">
        <v>1106881</v>
      </c>
      <c r="BF54" s="1">
        <v>281230.17</v>
      </c>
      <c r="BG54" s="1">
        <v>29423.327000000001</v>
      </c>
      <c r="BH54" s="1">
        <v>5706.1270000000004</v>
      </c>
      <c r="BI54" s="1">
        <v>10463.429</v>
      </c>
      <c r="BJ54" s="1">
        <v>26773</v>
      </c>
      <c r="BK54" s="1">
        <v>15876</v>
      </c>
      <c r="BL54" s="2">
        <v>4.505857302687025E-3</v>
      </c>
      <c r="BM54" s="2">
        <v>1.02434</v>
      </c>
      <c r="BN54" s="2">
        <v>0.93917000000000006</v>
      </c>
      <c r="BO54" s="2">
        <v>1.00918</v>
      </c>
      <c r="BP54" s="2">
        <v>1.0192100000000002</v>
      </c>
      <c r="BQ54" s="2">
        <v>0.98358000000000001</v>
      </c>
      <c r="BR54" s="2">
        <v>1.01874</v>
      </c>
      <c r="BS54" s="2">
        <v>1.01336</v>
      </c>
      <c r="BT54" s="2">
        <v>1.0206</v>
      </c>
      <c r="BU54" s="2">
        <v>1.01817</v>
      </c>
      <c r="BV54">
        <v>2011</v>
      </c>
      <c r="BW54" s="1">
        <v>0</v>
      </c>
      <c r="BX54" s="1">
        <v>1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</row>
    <row r="55" spans="1:82" x14ac:dyDescent="0.2">
      <c r="A55" s="2">
        <v>0.13252780567508318</v>
      </c>
      <c r="B55" s="2">
        <v>3.4808224657722875E-2</v>
      </c>
      <c r="C55" s="2">
        <v>3.9570009938120827E-2</v>
      </c>
      <c r="D55" s="2">
        <v>0.25981715060383231</v>
      </c>
      <c r="E55" s="2">
        <v>5.0594784224787186E-2</v>
      </c>
      <c r="F55" s="2">
        <v>4.1888844626965537E-2</v>
      </c>
      <c r="G55" s="2">
        <v>0.13481050264369193</v>
      </c>
      <c r="H55" s="2">
        <v>2.7912900760503991E-2</v>
      </c>
      <c r="I55" s="2">
        <v>8.5868488203143856E-2</v>
      </c>
      <c r="J55" s="2">
        <v>8.7702787206442884E-3</v>
      </c>
      <c r="K55" s="2">
        <v>6.4914062094457187E-2</v>
      </c>
      <c r="L55" s="2">
        <v>0.11851694785104694</v>
      </c>
      <c r="M55" s="2">
        <v>0.25981715060383231</v>
      </c>
      <c r="N55" s="2">
        <v>2.3691122212269544E-2</v>
      </c>
      <c r="O55" s="2">
        <v>5.1600249040922256E-3</v>
      </c>
      <c r="P55" s="2">
        <v>9.6375857760290853E-3</v>
      </c>
      <c r="Q55" s="2">
        <v>2.4890252999931611E-2</v>
      </c>
      <c r="R55" s="2">
        <v>1.2269481606066755E-2</v>
      </c>
      <c r="S55" s="2">
        <v>0.33546561810222153</v>
      </c>
      <c r="T55" s="1">
        <v>149772.46900000001</v>
      </c>
      <c r="U55" s="1">
        <v>39337.508999999998</v>
      </c>
      <c r="V55" s="1">
        <v>44718.902999999998</v>
      </c>
      <c r="W55" s="1">
        <v>293624.84299999999</v>
      </c>
      <c r="X55" s="1">
        <v>57178.233</v>
      </c>
      <c r="Y55" s="1">
        <v>47339.466999999997</v>
      </c>
      <c r="Z55" s="1">
        <v>152352.193</v>
      </c>
      <c r="AA55" s="1">
        <v>31544.957999999999</v>
      </c>
      <c r="AB55" s="1">
        <v>97041.79</v>
      </c>
      <c r="AC55" s="1">
        <v>9911.4770000000008</v>
      </c>
      <c r="AD55" s="1">
        <v>73360.751000000004</v>
      </c>
      <c r="AE55" s="1">
        <v>133938.503</v>
      </c>
      <c r="AF55" s="1">
        <v>1130121.0959999999</v>
      </c>
      <c r="AG55" s="1">
        <v>1119646</v>
      </c>
      <c r="AH55" s="2">
        <v>3.301093193408166E-2</v>
      </c>
      <c r="AI55" s="2">
        <v>1.0481699999999998</v>
      </c>
      <c r="AJ55" s="2">
        <v>1.0986499999999999</v>
      </c>
      <c r="AK55" s="2">
        <v>1.02782</v>
      </c>
      <c r="AL55" s="2">
        <v>1.0499700000000001</v>
      </c>
      <c r="AM55" s="2">
        <v>1.0232999999999999</v>
      </c>
      <c r="AN55" s="2">
        <v>1.00071</v>
      </c>
      <c r="AO55" s="2">
        <v>1.08</v>
      </c>
      <c r="AP55" s="2">
        <v>0.79819999999999991</v>
      </c>
      <c r="AQ55" s="2">
        <v>0.99604999999999999</v>
      </c>
      <c r="AR55" s="2">
        <v>1.0299800000000001</v>
      </c>
      <c r="AS55" s="2">
        <v>1.0488299999999999</v>
      </c>
      <c r="AT55" s="2">
        <v>1.01234</v>
      </c>
      <c r="AU55" s="2">
        <v>1.0325</v>
      </c>
      <c r="AV55" s="1">
        <v>1318313.9369999999</v>
      </c>
      <c r="AW55" s="1">
        <f>AV55/AU55</f>
        <v>1276817.3723970945</v>
      </c>
      <c r="AX55" s="1">
        <f>AV55/EXP(AH55)</f>
        <v>1275505.6238715085</v>
      </c>
      <c r="AY55" s="1">
        <v>379116.772</v>
      </c>
      <c r="AZ55" s="1">
        <f t="shared" si="1"/>
        <v>372856.51117733255</v>
      </c>
      <c r="BA55" s="1">
        <f t="shared" si="2"/>
        <v>376633.05492624646</v>
      </c>
      <c r="BB55" s="1">
        <v>740529.228</v>
      </c>
      <c r="BC55" s="1">
        <f t="shared" si="3"/>
        <v>711609.42112546123</v>
      </c>
      <c r="BD55" s="1">
        <f t="shared" si="4"/>
        <v>721207.61527367961</v>
      </c>
      <c r="BE55" s="1">
        <v>1119646</v>
      </c>
      <c r="BF55" s="1">
        <v>293624.84299999999</v>
      </c>
      <c r="BG55" s="1">
        <v>26773.837</v>
      </c>
      <c r="BH55" s="1">
        <v>5831.4530000000004</v>
      </c>
      <c r="BI55" s="1">
        <v>10891.638999999999</v>
      </c>
      <c r="BJ55" s="1">
        <v>28129</v>
      </c>
      <c r="BK55" s="1">
        <v>13866</v>
      </c>
      <c r="BL55" s="2">
        <v>6.5728788210155167E-3</v>
      </c>
      <c r="BM55" s="2">
        <v>1.0499700000000001</v>
      </c>
      <c r="BN55" s="2">
        <v>0.7883</v>
      </c>
      <c r="BO55" s="2">
        <v>1.0523199999999999</v>
      </c>
      <c r="BP55" s="2">
        <v>1.0441</v>
      </c>
      <c r="BQ55" s="2">
        <v>1.0196499999999999</v>
      </c>
      <c r="BR55" s="2">
        <v>0.87602000000000002</v>
      </c>
      <c r="BS55" s="2">
        <v>1.0167900000000001</v>
      </c>
      <c r="BT55" s="2">
        <v>1.04064</v>
      </c>
      <c r="BU55" s="2">
        <v>1.0325</v>
      </c>
      <c r="BV55">
        <v>2012</v>
      </c>
      <c r="BW55" s="1">
        <v>0</v>
      </c>
      <c r="BX55" s="1">
        <v>1</v>
      </c>
      <c r="BY55">
        <v>1</v>
      </c>
      <c r="BZ55">
        <v>0</v>
      </c>
      <c r="CA55">
        <v>0</v>
      </c>
      <c r="CB55">
        <v>0</v>
      </c>
      <c r="CC55">
        <v>1</v>
      </c>
      <c r="CD55">
        <v>1</v>
      </c>
    </row>
    <row r="56" spans="1:82" x14ac:dyDescent="0.2">
      <c r="A56" s="2">
        <v>0.13427241255669012</v>
      </c>
      <c r="B56" s="2">
        <v>3.523189667312409E-2</v>
      </c>
      <c r="C56" s="2">
        <v>3.9205249050249975E-2</v>
      </c>
      <c r="D56" s="2">
        <v>0.26412993991724049</v>
      </c>
      <c r="E56" s="2">
        <v>4.9495901588928692E-2</v>
      </c>
      <c r="F56" s="2">
        <v>4.1881311886945612E-2</v>
      </c>
      <c r="G56" s="2">
        <v>0.13122855526569399</v>
      </c>
      <c r="H56" s="2">
        <v>2.6829632123871964E-2</v>
      </c>
      <c r="I56" s="2">
        <v>8.3413896446666608E-2</v>
      </c>
      <c r="J56" s="2">
        <v>9.1203228020577207E-3</v>
      </c>
      <c r="K56" s="2">
        <v>6.4847295683119879E-2</v>
      </c>
      <c r="L56" s="2">
        <v>0.1203435860054109</v>
      </c>
      <c r="M56" s="2">
        <v>0.26412993991724049</v>
      </c>
      <c r="N56" s="2">
        <v>2.1788971503835835E-2</v>
      </c>
      <c r="O56" s="2">
        <v>5.2633832945437956E-3</v>
      </c>
      <c r="P56" s="2">
        <v>9.9838030275405786E-3</v>
      </c>
      <c r="Q56" s="2">
        <v>2.6150653646006123E-2</v>
      </c>
      <c r="R56" s="2">
        <v>1.1380393262284351E-2</v>
      </c>
      <c r="S56" s="2">
        <v>0.33869714465145118</v>
      </c>
      <c r="T56" s="1">
        <v>153369.66399999999</v>
      </c>
      <c r="U56" s="1">
        <v>40242.847000000002</v>
      </c>
      <c r="V56" s="1">
        <v>44781.32</v>
      </c>
      <c r="W56" s="1">
        <v>301696.52399999998</v>
      </c>
      <c r="X56" s="1">
        <v>56535.588000000003</v>
      </c>
      <c r="Y56" s="1">
        <v>47837.993000000002</v>
      </c>
      <c r="Z56" s="1">
        <v>149892.886</v>
      </c>
      <c r="AA56" s="1">
        <v>30645.547999999999</v>
      </c>
      <c r="AB56" s="1">
        <v>95277.66</v>
      </c>
      <c r="AC56" s="1">
        <v>10417.485000000001</v>
      </c>
      <c r="AD56" s="1">
        <v>74070.375</v>
      </c>
      <c r="AE56" s="1">
        <v>137459.77299999999</v>
      </c>
      <c r="AF56" s="1">
        <v>1142227.6629999999</v>
      </c>
      <c r="AG56" s="1">
        <v>1132231</v>
      </c>
      <c r="AH56" s="2">
        <v>4.023622393174868E-2</v>
      </c>
      <c r="AI56" s="2">
        <v>1.0602200000000002</v>
      </c>
      <c r="AJ56" s="2">
        <v>1.1570199999999999</v>
      </c>
      <c r="AK56" s="2">
        <v>1.03704</v>
      </c>
      <c r="AL56" s="2">
        <v>1.0693999999999999</v>
      </c>
      <c r="AM56" s="2">
        <v>1.02874</v>
      </c>
      <c r="AN56" s="2">
        <v>0.99441000000000002</v>
      </c>
      <c r="AO56" s="2">
        <v>1.0842700000000001</v>
      </c>
      <c r="AP56" s="2">
        <v>0.67740999999999996</v>
      </c>
      <c r="AQ56" s="2">
        <v>0.99376999999999993</v>
      </c>
      <c r="AR56" s="2">
        <v>1.03772</v>
      </c>
      <c r="AS56" s="2">
        <v>1.0718399999999999</v>
      </c>
      <c r="AT56" s="2">
        <v>1.02054</v>
      </c>
      <c r="AU56" s="2">
        <v>1.0391900000000001</v>
      </c>
      <c r="AV56" s="1">
        <v>1321925.463</v>
      </c>
      <c r="AW56" s="1">
        <f>AV56/AU56</f>
        <v>1272072.9250666383</v>
      </c>
      <c r="AX56" s="1">
        <f>AV56/EXP(AH56)</f>
        <v>1269792.0334991927</v>
      </c>
      <c r="AY56" s="1">
        <v>386869.24800000002</v>
      </c>
      <c r="AZ56" s="1">
        <f t="shared" si="1"/>
        <v>379879.46582875104</v>
      </c>
      <c r="BA56" s="1">
        <f t="shared" si="2"/>
        <v>383643.99771297106</v>
      </c>
      <c r="BB56" s="1">
        <v>745361.75199999998</v>
      </c>
      <c r="BC56" s="1">
        <f t="shared" si="3"/>
        <v>709834.53359363845</v>
      </c>
      <c r="BD56" s="1">
        <f t="shared" si="4"/>
        <v>721985.59844450082</v>
      </c>
      <c r="BE56" s="1">
        <v>1132231</v>
      </c>
      <c r="BF56" s="1">
        <v>301696.52399999998</v>
      </c>
      <c r="BG56" s="1">
        <v>24887.966</v>
      </c>
      <c r="BH56" s="1">
        <v>6011.982</v>
      </c>
      <c r="BI56" s="1">
        <v>11403.776</v>
      </c>
      <c r="BJ56" s="1">
        <v>29870</v>
      </c>
      <c r="BK56" s="1">
        <v>12999</v>
      </c>
      <c r="BL56" s="2">
        <v>8.3717421914399522E-3</v>
      </c>
      <c r="BM56" s="2">
        <v>1.0693999999999999</v>
      </c>
      <c r="BN56" s="2">
        <v>0.66022999999999998</v>
      </c>
      <c r="BO56" s="2">
        <v>1.0768899999999999</v>
      </c>
      <c r="BP56" s="2">
        <v>1.0709500000000001</v>
      </c>
      <c r="BQ56" s="2">
        <v>1.0339400000000001</v>
      </c>
      <c r="BR56" s="2">
        <v>0.82047999999999999</v>
      </c>
      <c r="BS56" s="2">
        <v>1.0184</v>
      </c>
      <c r="BT56" s="2">
        <v>1.0500499999999999</v>
      </c>
      <c r="BU56" s="2">
        <v>1.0391900000000001</v>
      </c>
      <c r="BV56">
        <v>2013</v>
      </c>
      <c r="BW56" s="1">
        <v>0</v>
      </c>
      <c r="BX56" s="1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1</v>
      </c>
    </row>
    <row r="57" spans="1:82" x14ac:dyDescent="0.2">
      <c r="A57" s="2">
        <v>0.13342809226834862</v>
      </c>
      <c r="B57" s="2">
        <v>3.5269153461442597E-2</v>
      </c>
      <c r="C57" s="2">
        <v>3.9482184476288464E-2</v>
      </c>
      <c r="D57" s="2">
        <v>0.26310671190208024</v>
      </c>
      <c r="E57" s="2">
        <v>4.9437440560624435E-2</v>
      </c>
      <c r="F57" s="2">
        <v>4.2095399628378154E-2</v>
      </c>
      <c r="G57" s="2">
        <v>0.13025162094777176</v>
      </c>
      <c r="H57" s="2">
        <v>2.6091714046395584E-2</v>
      </c>
      <c r="I57" s="2">
        <v>8.3989420494324132E-2</v>
      </c>
      <c r="J57" s="2">
        <v>9.2541501964354383E-3</v>
      </c>
      <c r="K57" s="2">
        <v>6.7368740156435819E-2</v>
      </c>
      <c r="L57" s="2">
        <v>0.12022537186147499</v>
      </c>
      <c r="M57" s="2">
        <v>0.26310671190208024</v>
      </c>
      <c r="N57" s="2">
        <v>2.0996309942778922E-2</v>
      </c>
      <c r="O57" s="2">
        <v>5.5057310204176075E-3</v>
      </c>
      <c r="P57" s="2">
        <v>1.0205877283341455E-2</v>
      </c>
      <c r="Q57" s="2">
        <v>2.6398330621712898E-2</v>
      </c>
      <c r="R57" s="2">
        <v>1.1063493659357297E-2</v>
      </c>
      <c r="S57" s="2">
        <v>0.3372764544296884</v>
      </c>
      <c r="T57" s="1">
        <v>153128.527</v>
      </c>
      <c r="U57" s="1">
        <v>40476.584999999999</v>
      </c>
      <c r="V57" s="1">
        <v>45311.663</v>
      </c>
      <c r="W57" s="1">
        <v>301953.978</v>
      </c>
      <c r="X57" s="1">
        <v>56736.796000000002</v>
      </c>
      <c r="Y57" s="1">
        <v>48310.714999999997</v>
      </c>
      <c r="Z57" s="1">
        <v>149483.05499999999</v>
      </c>
      <c r="AA57" s="1">
        <v>29944.112000000001</v>
      </c>
      <c r="AB57" s="1">
        <v>96390.317999999999</v>
      </c>
      <c r="AC57" s="1">
        <v>10620.51</v>
      </c>
      <c r="AD57" s="1">
        <v>77315.622000000003</v>
      </c>
      <c r="AE57" s="1">
        <v>137976.44699999999</v>
      </c>
      <c r="AF57" s="1">
        <v>1147648.3279999997</v>
      </c>
      <c r="AG57" s="1">
        <v>1141496</v>
      </c>
      <c r="AH57" s="2">
        <v>4.1803173746600669E-2</v>
      </c>
      <c r="AI57" s="2">
        <v>1.0473399999999999</v>
      </c>
      <c r="AJ57" s="2">
        <v>1.1963900000000001</v>
      </c>
      <c r="AK57" s="2">
        <v>1.03746</v>
      </c>
      <c r="AL57" s="2">
        <v>1.08369</v>
      </c>
      <c r="AM57" s="2">
        <v>1.0294099999999999</v>
      </c>
      <c r="AN57" s="2">
        <v>0.98781000000000008</v>
      </c>
      <c r="AO57" s="2">
        <v>1.08673</v>
      </c>
      <c r="AP57" s="2">
        <v>0.63129000000000002</v>
      </c>
      <c r="AQ57" s="2">
        <v>0.99081000000000008</v>
      </c>
      <c r="AR57" s="2">
        <v>1.0430999999999999</v>
      </c>
      <c r="AS57" s="2">
        <v>1.1010599999999999</v>
      </c>
      <c r="AT57" s="2">
        <v>1.00718</v>
      </c>
      <c r="AU57" s="2">
        <v>1.0403799999999999</v>
      </c>
      <c r="AV57" s="1">
        <v>1338491.1270000001</v>
      </c>
      <c r="AW57" s="1">
        <f>AV57/AU57</f>
        <v>1286540.6168899827</v>
      </c>
      <c r="AX57" s="1">
        <f>AV57/EXP(AH57)</f>
        <v>1283691.3325363738</v>
      </c>
      <c r="AY57" s="1">
        <v>387074.75900000002</v>
      </c>
      <c r="AZ57" s="1">
        <f t="shared" si="1"/>
        <v>377534.46311703266</v>
      </c>
      <c r="BA57" s="1">
        <f t="shared" si="2"/>
        <v>382802.60228260781</v>
      </c>
      <c r="BB57" s="1">
        <v>754421.24100000004</v>
      </c>
      <c r="BC57" s="1">
        <f t="shared" si="3"/>
        <v>719695.91318864771</v>
      </c>
      <c r="BD57" s="1">
        <f t="shared" si="4"/>
        <v>731608.91775893082</v>
      </c>
      <c r="BE57" s="1">
        <v>1141496</v>
      </c>
      <c r="BF57" s="1">
        <v>301953.978</v>
      </c>
      <c r="BG57" s="1">
        <v>24096.38</v>
      </c>
      <c r="BH57" s="1">
        <v>6318.643</v>
      </c>
      <c r="BI57" s="1">
        <v>11712.758</v>
      </c>
      <c r="BJ57" s="1">
        <v>30296</v>
      </c>
      <c r="BK57" s="1">
        <v>12697</v>
      </c>
      <c r="BL57" s="2">
        <v>1.109839250721692E-2</v>
      </c>
      <c r="BM57" s="2">
        <v>1.08369</v>
      </c>
      <c r="BN57" s="2">
        <v>0.62694000000000005</v>
      </c>
      <c r="BO57" s="2">
        <v>1.0993600000000001</v>
      </c>
      <c r="BP57" s="2">
        <v>1.0924800000000001</v>
      </c>
      <c r="BQ57" s="2">
        <v>1.0560400000000001</v>
      </c>
      <c r="BR57" s="2">
        <v>0.75505999999999995</v>
      </c>
      <c r="BS57" s="2">
        <v>1.0252699999999999</v>
      </c>
      <c r="BT57" s="2">
        <v>1.0482500000000001</v>
      </c>
      <c r="BU57" s="2">
        <v>1.0403799999999999</v>
      </c>
      <c r="BV57">
        <v>2014</v>
      </c>
      <c r="BW57" s="1">
        <v>0</v>
      </c>
      <c r="BX57" s="1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1</v>
      </c>
    </row>
    <row r="58" spans="1:82" x14ac:dyDescent="0.2">
      <c r="A58" s="2">
        <v>0.13317331823433651</v>
      </c>
      <c r="B58" s="2">
        <v>3.5363895030703557E-2</v>
      </c>
      <c r="C58" s="2">
        <v>3.8961238410652126E-2</v>
      </c>
      <c r="D58" s="2">
        <v>0.26299476985254305</v>
      </c>
      <c r="E58" s="2">
        <v>4.9179549656457079E-2</v>
      </c>
      <c r="F58" s="2">
        <v>4.1792656056304361E-2</v>
      </c>
      <c r="G58" s="2">
        <v>0.12941841952337077</v>
      </c>
      <c r="H58" s="2">
        <v>2.5695516197397277E-2</v>
      </c>
      <c r="I58" s="2">
        <v>8.3376004104499732E-2</v>
      </c>
      <c r="J58" s="2">
        <v>9.3949958780356509E-3</v>
      </c>
      <c r="K58" s="2">
        <v>6.7490382118900946E-2</v>
      </c>
      <c r="L58" s="2">
        <v>0.123159254936799</v>
      </c>
      <c r="M58" s="2">
        <v>0.26299476985254305</v>
      </c>
      <c r="N58" s="2">
        <v>2.029319041079589E-2</v>
      </c>
      <c r="O58" s="2">
        <v>5.5290578698154085E-3</v>
      </c>
      <c r="P58" s="2">
        <v>1.0019627391799981E-2</v>
      </c>
      <c r="Q58" s="2">
        <v>2.6593816114497161E-2</v>
      </c>
      <c r="R58" s="2">
        <v>1.2214262693897306E-2</v>
      </c>
      <c r="S58" s="2">
        <v>0.33764472519055017</v>
      </c>
      <c r="T58" s="1">
        <v>155358.261</v>
      </c>
      <c r="U58" s="1">
        <v>41255.06</v>
      </c>
      <c r="V58" s="1">
        <v>45451.673999999999</v>
      </c>
      <c r="W58" s="1">
        <v>306806.27799999999</v>
      </c>
      <c r="X58" s="1">
        <v>57372.222999999998</v>
      </c>
      <c r="Y58" s="1">
        <v>48754.769</v>
      </c>
      <c r="Z58" s="1">
        <v>150977.845</v>
      </c>
      <c r="AA58" s="1">
        <v>29976.055</v>
      </c>
      <c r="AB58" s="1">
        <v>97265.361999999994</v>
      </c>
      <c r="AC58" s="1">
        <v>10960.08</v>
      </c>
      <c r="AD58" s="1">
        <v>78733.402000000002</v>
      </c>
      <c r="AE58" s="1">
        <v>143675.98499999999</v>
      </c>
      <c r="AF58" s="1">
        <v>1166586.9939999999</v>
      </c>
      <c r="AG58" s="1">
        <v>1160572</v>
      </c>
      <c r="AH58" s="2">
        <v>4.4681262731203618E-2</v>
      </c>
      <c r="AI58" s="2">
        <v>1.0517799999999999</v>
      </c>
      <c r="AJ58" s="2">
        <v>1.2022599999999999</v>
      </c>
      <c r="AK58" s="2">
        <v>1.0288599999999999</v>
      </c>
      <c r="AL58" s="2">
        <v>1.08876</v>
      </c>
      <c r="AM58" s="2">
        <v>1.02871</v>
      </c>
      <c r="AN58" s="2">
        <v>0.97770999999999997</v>
      </c>
      <c r="AO58" s="2">
        <v>1.0705200000000001</v>
      </c>
      <c r="AP58" s="2">
        <v>0.60655000000000003</v>
      </c>
      <c r="AQ58" s="2">
        <v>0.98831000000000002</v>
      </c>
      <c r="AR58" s="2">
        <v>1.0495699999999999</v>
      </c>
      <c r="AS58" s="2">
        <v>1.1173</v>
      </c>
      <c r="AT58" s="2">
        <v>1.03796</v>
      </c>
      <c r="AU58" s="2">
        <v>1.0431600000000001</v>
      </c>
      <c r="AV58" s="1">
        <v>1353320.324</v>
      </c>
      <c r="AW58" s="1">
        <f>AV58/AU58</f>
        <v>1297327.6621036083</v>
      </c>
      <c r="AX58" s="1">
        <f>AV58/EXP(AH58)</f>
        <v>1294183.2605620637</v>
      </c>
      <c r="AY58" s="1">
        <v>393891.94500000001</v>
      </c>
      <c r="AZ58" s="1">
        <f t="shared" si="1"/>
        <v>380921.56568831299</v>
      </c>
      <c r="BA58" s="1">
        <f t="shared" si="2"/>
        <v>388399.86971505592</v>
      </c>
      <c r="BB58" s="1">
        <v>766680.05500000005</v>
      </c>
      <c r="BC58" s="1">
        <f t="shared" si="3"/>
        <v>731620.78689212922</v>
      </c>
      <c r="BD58" s="1">
        <f t="shared" si="4"/>
        <v>743545.18159775867</v>
      </c>
      <c r="BE58" s="1">
        <v>1160572</v>
      </c>
      <c r="BF58" s="1">
        <v>306806.27799999999</v>
      </c>
      <c r="BG58" s="1">
        <v>23673.772000000001</v>
      </c>
      <c r="BH58" s="1">
        <v>6450.1270000000004</v>
      </c>
      <c r="BI58" s="1">
        <v>11688.767</v>
      </c>
      <c r="BJ58" s="1">
        <v>31024</v>
      </c>
      <c r="BK58" s="1">
        <v>14249</v>
      </c>
      <c r="BL58" s="2">
        <v>1.4041219438152059E-2</v>
      </c>
      <c r="BM58" s="2">
        <v>1.08876</v>
      </c>
      <c r="BN58" s="2">
        <v>0.61070999999999998</v>
      </c>
      <c r="BO58" s="2">
        <v>1.1204799999999999</v>
      </c>
      <c r="BP58" s="2">
        <v>1.11467</v>
      </c>
      <c r="BQ58" s="2">
        <v>1.0840699999999999</v>
      </c>
      <c r="BR58" s="2">
        <v>0.83655000000000002</v>
      </c>
      <c r="BS58" s="2">
        <v>1.0340499999999999</v>
      </c>
      <c r="BT58" s="2">
        <v>1.04792</v>
      </c>
      <c r="BU58" s="2">
        <v>1.0431600000000001</v>
      </c>
      <c r="BV58">
        <v>2015</v>
      </c>
      <c r="BW58" s="1">
        <v>0</v>
      </c>
      <c r="BX58" s="1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1</v>
      </c>
    </row>
    <row r="59" spans="1:82" x14ac:dyDescent="0.2">
      <c r="A59" s="2">
        <v>0.13359717437015098</v>
      </c>
      <c r="B59" s="2">
        <v>3.5129100232865716E-2</v>
      </c>
      <c r="C59" s="2">
        <v>3.7909059527756042E-2</v>
      </c>
      <c r="D59" s="2">
        <v>0.2620041561110435</v>
      </c>
      <c r="E59" s="2">
        <v>4.8634794432573125E-2</v>
      </c>
      <c r="F59" s="2">
        <v>4.176743154533602E-2</v>
      </c>
      <c r="G59" s="2">
        <v>0.13087786109471647</v>
      </c>
      <c r="H59" s="2">
        <v>2.5834809301585802E-2</v>
      </c>
      <c r="I59" s="2">
        <v>8.4662196037387907E-2</v>
      </c>
      <c r="J59" s="2">
        <v>9.5023823223535208E-3</v>
      </c>
      <c r="K59" s="2">
        <v>6.9503587460917615E-2</v>
      </c>
      <c r="L59" s="2">
        <v>0.12057744756331326</v>
      </c>
      <c r="M59" s="2">
        <v>0.2620041561110435</v>
      </c>
      <c r="N59" s="2">
        <v>2.0165716928329663E-2</v>
      </c>
      <c r="O59" s="2">
        <v>5.7355275989018706E-3</v>
      </c>
      <c r="P59" s="2">
        <v>1.0100584855186983E-2</v>
      </c>
      <c r="Q59" s="2">
        <v>2.7365242468773743E-2</v>
      </c>
      <c r="R59" s="2">
        <v>1.1084889710830026E-2</v>
      </c>
      <c r="S59" s="2">
        <v>0.33645611767306582</v>
      </c>
      <c r="T59" s="1">
        <v>158630.89799999999</v>
      </c>
      <c r="U59" s="1">
        <v>41711.665999999997</v>
      </c>
      <c r="V59" s="1">
        <v>45012.54</v>
      </c>
      <c r="W59" s="1">
        <v>311099.054</v>
      </c>
      <c r="X59" s="1">
        <v>57748.086000000003</v>
      </c>
      <c r="Y59" s="1">
        <v>49593.902000000002</v>
      </c>
      <c r="Z59" s="1">
        <v>155402.03400000001</v>
      </c>
      <c r="AA59" s="1">
        <v>30675.791000000001</v>
      </c>
      <c r="AB59" s="1">
        <v>100526.379</v>
      </c>
      <c r="AC59" s="1">
        <v>11282.959000000001</v>
      </c>
      <c r="AD59" s="1">
        <v>82527.317999999999</v>
      </c>
      <c r="AE59" s="1">
        <v>143171.50700000001</v>
      </c>
      <c r="AF59" s="1">
        <v>1187382.1340000001</v>
      </c>
      <c r="AG59" s="1">
        <v>1186092</v>
      </c>
      <c r="AH59" s="2">
        <v>4.4214363483563106E-2</v>
      </c>
      <c r="AI59" s="2">
        <v>1.0608899999999999</v>
      </c>
      <c r="AJ59" s="2">
        <v>1.2076900000000002</v>
      </c>
      <c r="AK59" s="2">
        <v>1.0257399999999999</v>
      </c>
      <c r="AL59" s="2">
        <v>1.09032</v>
      </c>
      <c r="AM59" s="2">
        <v>1.0234799999999999</v>
      </c>
      <c r="AN59" s="2">
        <v>0.96959999999999991</v>
      </c>
      <c r="AO59" s="2">
        <v>1.05836</v>
      </c>
      <c r="AP59" s="2">
        <v>0.59609999999999996</v>
      </c>
      <c r="AQ59" s="2">
        <v>0.99339</v>
      </c>
      <c r="AR59" s="2">
        <v>1.05802</v>
      </c>
      <c r="AS59" s="2">
        <v>1.13689</v>
      </c>
      <c r="AT59" s="2">
        <v>1.0275799999999999</v>
      </c>
      <c r="AU59" s="2">
        <v>1.04264</v>
      </c>
      <c r="AV59" s="1">
        <v>1376974.63</v>
      </c>
      <c r="AW59" s="1">
        <f>AV59/AU59</f>
        <v>1320661.6185835954</v>
      </c>
      <c r="AX59" s="1">
        <f>AV59/EXP(AH59)</f>
        <v>1317418.8847460544</v>
      </c>
      <c r="AY59" s="1">
        <v>399501.98300000001</v>
      </c>
      <c r="AZ59" s="1">
        <f t="shared" si="1"/>
        <v>385697.85670840618</v>
      </c>
      <c r="BA59" s="1">
        <f t="shared" si="2"/>
        <v>393590.7452695336</v>
      </c>
      <c r="BB59" s="1">
        <v>786590.01699999999</v>
      </c>
      <c r="BC59" s="1">
        <f t="shared" si="3"/>
        <v>751832.78724563436</v>
      </c>
      <c r="BD59" s="1">
        <f t="shared" si="4"/>
        <v>763871.72979736421</v>
      </c>
      <c r="BE59" s="1">
        <v>1186092</v>
      </c>
      <c r="BF59" s="1">
        <v>311099.054</v>
      </c>
      <c r="BG59" s="1">
        <v>23944.412</v>
      </c>
      <c r="BH59" s="1">
        <v>6810.2629999999999</v>
      </c>
      <c r="BI59" s="1">
        <v>11993.254000000001</v>
      </c>
      <c r="BJ59" s="1">
        <v>32493</v>
      </c>
      <c r="BK59" s="1">
        <v>13162</v>
      </c>
      <c r="BL59" s="2">
        <v>1.4907077031699934E-2</v>
      </c>
      <c r="BM59" s="2">
        <v>1.09032</v>
      </c>
      <c r="BN59" s="2">
        <v>0.61095999999999995</v>
      </c>
      <c r="BO59" s="2">
        <v>1.1271100000000001</v>
      </c>
      <c r="BP59" s="2">
        <v>1.14117</v>
      </c>
      <c r="BQ59" s="2">
        <v>1.1063700000000001</v>
      </c>
      <c r="BR59" s="2">
        <v>0.79099999999999993</v>
      </c>
      <c r="BS59" s="2">
        <v>1.03579</v>
      </c>
      <c r="BT59" s="2">
        <v>1.04623</v>
      </c>
      <c r="BU59" s="2">
        <v>1.04264</v>
      </c>
      <c r="BV59">
        <v>2016</v>
      </c>
      <c r="BW59" s="1">
        <v>0</v>
      </c>
      <c r="BX59" s="1">
        <v>1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82"/>
  <sheetViews>
    <sheetView tabSelected="1" topLeftCell="A55" workbookViewId="0">
      <selection sqref="A1:A16384"/>
    </sheetView>
  </sheetViews>
  <sheetFormatPr baseColWidth="10" defaultRowHeight="12.75" x14ac:dyDescent="0.2"/>
  <cols>
    <col min="1" max="1" width="15.375" bestFit="1" customWidth="1"/>
  </cols>
  <sheetData>
    <row r="1" spans="1:1" x14ac:dyDescent="0.2">
      <c r="A1" t="str">
        <f>CONCATENATE("w",A20)</f>
        <v>walimentation</v>
      </c>
    </row>
    <row r="2" spans="1:1" x14ac:dyDescent="0.2">
      <c r="A2" t="str">
        <f>CONCATENATE("w",A21)</f>
        <v>wvice</v>
      </c>
    </row>
    <row r="3" spans="1:1" x14ac:dyDescent="0.2">
      <c r="A3" t="str">
        <f>CONCATENATE("w",A22)</f>
        <v>whabillement</v>
      </c>
    </row>
    <row r="4" spans="1:1" x14ac:dyDescent="0.2">
      <c r="A4" t="str">
        <f>CONCATENATE("w",A23)</f>
        <v>wlogement</v>
      </c>
    </row>
    <row r="5" spans="1:1" x14ac:dyDescent="0.2">
      <c r="A5" t="str">
        <f>CONCATENATE("w",A24)</f>
        <v>wmeubles</v>
      </c>
    </row>
    <row r="6" spans="1:1" x14ac:dyDescent="0.2">
      <c r="A6" t="str">
        <f>CONCATENATE("w",A25)</f>
        <v>wsanté</v>
      </c>
    </row>
    <row r="7" spans="1:1" x14ac:dyDescent="0.2">
      <c r="A7" t="str">
        <f>CONCATENATE("w",A26)</f>
        <v>wtransports</v>
      </c>
    </row>
    <row r="8" spans="1:1" x14ac:dyDescent="0.2">
      <c r="A8" t="str">
        <f>CONCATENATE("w",A27)</f>
        <v>wcommunications</v>
      </c>
    </row>
    <row r="9" spans="1:1" x14ac:dyDescent="0.2">
      <c r="A9" t="str">
        <f>CONCATENATE("w",A28)</f>
        <v>wloisirs</v>
      </c>
    </row>
    <row r="10" spans="1:1" x14ac:dyDescent="0.2">
      <c r="A10" t="str">
        <f>CONCATENATE("w",A29)</f>
        <v>wéducation</v>
      </c>
    </row>
    <row r="11" spans="1:1" x14ac:dyDescent="0.2">
      <c r="A11" t="str">
        <f>CONCATENATE("w",A30)</f>
        <v>wrestauration</v>
      </c>
    </row>
    <row r="12" spans="1:1" x14ac:dyDescent="0.2">
      <c r="A12" t="str">
        <f>CONCATENATE("w",A31)</f>
        <v>wdivers</v>
      </c>
    </row>
    <row r="13" spans="1:1" x14ac:dyDescent="0.2">
      <c r="A13" t="s">
        <v>38</v>
      </c>
    </row>
    <row r="14" spans="1:1" x14ac:dyDescent="0.2">
      <c r="A14" t="s">
        <v>42</v>
      </c>
    </row>
    <row r="15" spans="1:1" x14ac:dyDescent="0.2">
      <c r="A15" t="s">
        <v>39</v>
      </c>
    </row>
    <row r="16" spans="1:1" x14ac:dyDescent="0.2">
      <c r="A16" t="s">
        <v>40</v>
      </c>
    </row>
    <row r="17" spans="1:1" x14ac:dyDescent="0.2">
      <c r="A17" t="s">
        <v>41</v>
      </c>
    </row>
    <row r="18" spans="1:1" x14ac:dyDescent="0.2">
      <c r="A18" t="s">
        <v>43</v>
      </c>
    </row>
    <row r="19" spans="1:1" x14ac:dyDescent="0.2">
      <c r="A19" t="s">
        <v>44</v>
      </c>
    </row>
    <row r="20" spans="1:1" x14ac:dyDescent="0.2">
      <c r="A20" t="s">
        <v>0</v>
      </c>
    </row>
    <row r="21" spans="1:1" x14ac:dyDescent="0.2">
      <c r="A21" t="s">
        <v>1</v>
      </c>
    </row>
    <row r="22" spans="1:1" x14ac:dyDescent="0.2">
      <c r="A22" t="s">
        <v>2</v>
      </c>
    </row>
    <row r="23" spans="1:1" x14ac:dyDescent="0.2">
      <c r="A23" t="s">
        <v>3</v>
      </c>
    </row>
    <row r="24" spans="1:1" x14ac:dyDescent="0.2">
      <c r="A24" t="s">
        <v>4</v>
      </c>
    </row>
    <row r="25" spans="1:1" x14ac:dyDescent="0.2">
      <c r="A25" t="s">
        <v>8</v>
      </c>
    </row>
    <row r="26" spans="1:1" x14ac:dyDescent="0.2">
      <c r="A26" t="s">
        <v>9</v>
      </c>
    </row>
    <row r="27" spans="1:1" x14ac:dyDescent="0.2">
      <c r="A27" t="s">
        <v>10</v>
      </c>
    </row>
    <row r="28" spans="1:1" x14ac:dyDescent="0.2">
      <c r="A28" t="s">
        <v>11</v>
      </c>
    </row>
    <row r="29" spans="1:1" x14ac:dyDescent="0.2">
      <c r="A29" t="s">
        <v>12</v>
      </c>
    </row>
    <row r="30" spans="1:1" x14ac:dyDescent="0.2">
      <c r="A30" t="s">
        <v>13</v>
      </c>
    </row>
    <row r="31" spans="1:1" x14ac:dyDescent="0.2">
      <c r="A31" t="s">
        <v>14</v>
      </c>
    </row>
    <row r="32" spans="1:1" x14ac:dyDescent="0.2">
      <c r="A32" t="s">
        <v>7</v>
      </c>
    </row>
    <row r="33" spans="1:1" x14ac:dyDescent="0.2">
      <c r="A33" t="s">
        <v>5</v>
      </c>
    </row>
    <row r="34" spans="1:1" x14ac:dyDescent="0.2">
      <c r="A34" t="s">
        <v>28</v>
      </c>
    </row>
    <row r="35" spans="1:1" x14ac:dyDescent="0.2">
      <c r="A35" t="s">
        <v>15</v>
      </c>
    </row>
    <row r="36" spans="1:1" x14ac:dyDescent="0.2">
      <c r="A36" t="s">
        <v>16</v>
      </c>
    </row>
    <row r="37" spans="1:1" x14ac:dyDescent="0.2">
      <c r="A37" t="s">
        <v>17</v>
      </c>
    </row>
    <row r="38" spans="1:1" x14ac:dyDescent="0.2">
      <c r="A38" t="s">
        <v>18</v>
      </c>
    </row>
    <row r="39" spans="1:1" x14ac:dyDescent="0.2">
      <c r="A39" t="s">
        <v>19</v>
      </c>
    </row>
    <row r="40" spans="1:1" x14ac:dyDescent="0.2">
      <c r="A40" t="s">
        <v>20</v>
      </c>
    </row>
    <row r="41" spans="1:1" x14ac:dyDescent="0.2">
      <c r="A41" t="s">
        <v>21</v>
      </c>
    </row>
    <row r="42" spans="1:1" x14ac:dyDescent="0.2">
      <c r="A42" t="s">
        <v>22</v>
      </c>
    </row>
    <row r="43" spans="1:1" x14ac:dyDescent="0.2">
      <c r="A43" t="s">
        <v>23</v>
      </c>
    </row>
    <row r="44" spans="1:1" x14ac:dyDescent="0.2">
      <c r="A44" t="s">
        <v>24</v>
      </c>
    </row>
    <row r="45" spans="1:1" x14ac:dyDescent="0.2">
      <c r="A45" t="s">
        <v>25</v>
      </c>
    </row>
    <row r="46" spans="1:1" x14ac:dyDescent="0.2">
      <c r="A46" t="s">
        <v>26</v>
      </c>
    </row>
    <row r="47" spans="1:1" x14ac:dyDescent="0.2">
      <c r="A47" t="s">
        <v>27</v>
      </c>
    </row>
    <row r="48" spans="1:1" x14ac:dyDescent="0.2">
      <c r="A48" t="s">
        <v>37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35</v>
      </c>
    </row>
    <row r="52" spans="1:1" x14ac:dyDescent="0.2">
      <c r="A52" t="s">
        <v>57</v>
      </c>
    </row>
    <row r="53" spans="1:1" x14ac:dyDescent="0.2">
      <c r="A53" t="s">
        <v>58</v>
      </c>
    </row>
    <row r="54" spans="1:1" x14ac:dyDescent="0.2">
      <c r="A54" t="s">
        <v>36</v>
      </c>
    </row>
    <row r="55" spans="1:1" x14ac:dyDescent="0.2">
      <c r="A55" t="s">
        <v>59</v>
      </c>
    </row>
    <row r="56" spans="1:1" x14ac:dyDescent="0.2">
      <c r="A56" t="s">
        <v>60</v>
      </c>
    </row>
    <row r="57" spans="1:1" x14ac:dyDescent="0.2">
      <c r="A57" t="s">
        <v>5</v>
      </c>
    </row>
    <row r="58" spans="1:1" x14ac:dyDescent="0.2">
      <c r="A58" t="s">
        <v>29</v>
      </c>
    </row>
    <row r="59" spans="1:1" x14ac:dyDescent="0.2">
      <c r="A59" t="s">
        <v>30</v>
      </c>
    </row>
    <row r="60" spans="1:1" x14ac:dyDescent="0.2">
      <c r="A60" t="s">
        <v>31</v>
      </c>
    </row>
    <row r="61" spans="1:1" x14ac:dyDescent="0.2">
      <c r="A61" t="s">
        <v>32</v>
      </c>
    </row>
    <row r="62" spans="1:1" x14ac:dyDescent="0.2">
      <c r="A62" t="s">
        <v>33</v>
      </c>
    </row>
    <row r="63" spans="1:1" x14ac:dyDescent="0.2">
      <c r="A63" t="s">
        <v>34</v>
      </c>
    </row>
    <row r="64" spans="1:1" x14ac:dyDescent="0.2">
      <c r="A64" t="s">
        <v>56</v>
      </c>
    </row>
    <row r="65" spans="1:1" x14ac:dyDescent="0.2">
      <c r="A65" t="s">
        <v>47</v>
      </c>
    </row>
    <row r="66" spans="1:1" x14ac:dyDescent="0.2">
      <c r="A66" t="s">
        <v>48</v>
      </c>
    </row>
    <row r="67" spans="1:1" x14ac:dyDescent="0.2">
      <c r="A67" t="s">
        <v>49</v>
      </c>
    </row>
    <row r="68" spans="1:1" x14ac:dyDescent="0.2">
      <c r="A68" t="s">
        <v>50</v>
      </c>
    </row>
    <row r="69" spans="1:1" x14ac:dyDescent="0.2">
      <c r="A69" t="s">
        <v>51</v>
      </c>
    </row>
    <row r="70" spans="1:1" x14ac:dyDescent="0.2">
      <c r="A70" t="s">
        <v>52</v>
      </c>
    </row>
    <row r="71" spans="1:1" x14ac:dyDescent="0.2">
      <c r="A71" t="s">
        <v>53</v>
      </c>
    </row>
    <row r="72" spans="1:1" x14ac:dyDescent="0.2">
      <c r="A72" t="s">
        <v>54</v>
      </c>
    </row>
    <row r="73" spans="1:1" x14ac:dyDescent="0.2">
      <c r="A73" t="s">
        <v>55</v>
      </c>
    </row>
    <row r="74" spans="1:1" x14ac:dyDescent="0.2">
      <c r="A74" t="s">
        <v>6</v>
      </c>
    </row>
    <row r="75" spans="1:1" x14ac:dyDescent="0.2">
      <c r="A75" t="s">
        <v>61</v>
      </c>
    </row>
    <row r="76" spans="1:1" x14ac:dyDescent="0.2">
      <c r="A76" t="s">
        <v>62</v>
      </c>
    </row>
    <row r="77" spans="1:1" x14ac:dyDescent="0.2">
      <c r="A77" t="s">
        <v>63</v>
      </c>
    </row>
    <row r="78" spans="1:1" x14ac:dyDescent="0.2">
      <c r="A78" t="s">
        <v>64</v>
      </c>
    </row>
    <row r="79" spans="1:1" x14ac:dyDescent="0.2">
      <c r="A79" t="s">
        <v>65</v>
      </c>
    </row>
    <row r="80" spans="1:1" x14ac:dyDescent="0.2">
      <c r="A80" t="s">
        <v>66</v>
      </c>
    </row>
    <row r="81" spans="1:1" x14ac:dyDescent="0.2">
      <c r="A81" t="s">
        <v>67</v>
      </c>
    </row>
    <row r="82" spans="1:1" x14ac:dyDescent="0.2">
      <c r="A82" t="s">
        <v>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consomen</vt:lpstr>
      <vt:lpstr>dicovar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Zardoz</dc:creator>
  <cp:lastModifiedBy>Zardoz</cp:lastModifiedBy>
  <dcterms:created xsi:type="dcterms:W3CDTF">2018-04-04T10:01:48Z</dcterms:created>
  <dcterms:modified xsi:type="dcterms:W3CDTF">2018-04-04T11:26:02Z</dcterms:modified>
</cp:coreProperties>
</file>