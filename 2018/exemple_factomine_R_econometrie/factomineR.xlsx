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0835" windowHeight="10050"/>
  </bookViews>
  <sheets>
    <sheet name="data_factomineR" sheetId="2" r:id="rId1"/>
    <sheet name="REVLIB" sheetId="3" r:id="rId2"/>
    <sheet name="data_insee" sheetId="1" r:id="rId3"/>
    <sheet name="Feuil1" sheetId="4" r:id="rId4"/>
  </sheets>
  <calcPr calcId="145621"/>
</workbook>
</file>

<file path=xl/calcChain.xml><?xml version="1.0" encoding="utf-8"?>
<calcChain xmlns="http://schemas.openxmlformats.org/spreadsheetml/2006/main">
  <c r="BU59" i="2" l="1"/>
  <c r="BU58" i="2"/>
  <c r="BU57" i="2"/>
  <c r="BU56" i="2"/>
  <c r="BU55" i="2"/>
  <c r="BU54" i="2"/>
  <c r="BU53" i="2"/>
  <c r="BU52" i="2"/>
  <c r="BU51" i="2"/>
  <c r="BU50" i="2"/>
  <c r="BU49" i="2"/>
  <c r="BU48" i="2"/>
  <c r="BU47" i="2"/>
  <c r="BU46" i="2"/>
  <c r="BU45" i="2"/>
  <c r="BU44" i="2"/>
  <c r="BU43" i="2"/>
  <c r="BU42" i="2"/>
  <c r="BU41" i="2"/>
  <c r="BU40" i="2"/>
  <c r="BU39" i="2"/>
  <c r="BU38" i="2"/>
  <c r="BU37" i="2"/>
  <c r="BU36" i="2"/>
  <c r="BU35" i="2"/>
  <c r="BU34" i="2"/>
  <c r="BU33" i="2"/>
  <c r="BU32" i="2"/>
  <c r="BU31" i="2"/>
  <c r="BU30" i="2"/>
  <c r="BU29" i="2"/>
  <c r="BU28" i="2"/>
  <c r="BU27" i="2"/>
  <c r="BU26" i="2"/>
  <c r="BU25" i="2"/>
  <c r="BU24" i="2"/>
  <c r="BU23" i="2"/>
  <c r="BU22" i="2"/>
  <c r="BU21" i="2"/>
  <c r="BU20" i="2"/>
  <c r="BU19" i="2"/>
  <c r="BU18" i="2"/>
  <c r="BU17" i="2"/>
  <c r="BU16" i="2"/>
  <c r="BU15" i="2"/>
  <c r="BU14" i="2"/>
  <c r="BU13" i="2"/>
  <c r="BU12" i="2"/>
  <c r="BU11" i="2"/>
  <c r="BU10" i="2"/>
  <c r="BU9" i="2"/>
  <c r="BU8" i="2"/>
  <c r="BU7" i="2"/>
  <c r="BU6" i="2"/>
  <c r="BU5" i="2"/>
  <c r="BU4" i="2"/>
  <c r="BU3" i="2"/>
  <c r="BU2" i="2"/>
  <c r="BH33" i="2"/>
  <c r="BH32" i="2"/>
  <c r="BH31" i="2"/>
  <c r="BH30" i="2"/>
  <c r="BH29" i="2"/>
  <c r="BH28" i="2"/>
  <c r="BG3" i="2"/>
  <c r="BG2" i="2"/>
  <c r="BV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V58" i="2"/>
  <c r="BT58" i="2"/>
  <c r="BS58" i="2"/>
  <c r="BR58" i="2"/>
  <c r="BQ58" i="2"/>
  <c r="BP58" i="2"/>
  <c r="BO58" i="2"/>
  <c r="BN58" i="2"/>
  <c r="BM58" i="2"/>
  <c r="BL58" i="2"/>
  <c r="BK58" i="2"/>
  <c r="BJ58" i="2"/>
  <c r="BI58" i="2"/>
  <c r="BV57" i="2"/>
  <c r="BT57" i="2"/>
  <c r="BS57" i="2"/>
  <c r="BR57" i="2"/>
  <c r="BQ57" i="2"/>
  <c r="BP57" i="2"/>
  <c r="BO57" i="2"/>
  <c r="BN57" i="2"/>
  <c r="BM57" i="2"/>
  <c r="BL57" i="2"/>
  <c r="BK57" i="2"/>
  <c r="BJ57" i="2"/>
  <c r="BI57" i="2"/>
  <c r="BV56" i="2"/>
  <c r="BT56" i="2"/>
  <c r="BS56" i="2"/>
  <c r="BR56" i="2"/>
  <c r="BQ56" i="2"/>
  <c r="BP56" i="2"/>
  <c r="BO56" i="2"/>
  <c r="BN56" i="2"/>
  <c r="BM56" i="2"/>
  <c r="BL56" i="2"/>
  <c r="BK56" i="2"/>
  <c r="BJ56" i="2"/>
  <c r="BI56" i="2"/>
  <c r="BV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V54" i="2"/>
  <c r="BT54" i="2"/>
  <c r="BS54" i="2"/>
  <c r="BR54" i="2"/>
  <c r="BQ54" i="2"/>
  <c r="BP54" i="2"/>
  <c r="BO54" i="2"/>
  <c r="BN54" i="2"/>
  <c r="BM54" i="2"/>
  <c r="BL54" i="2"/>
  <c r="BK54" i="2"/>
  <c r="BJ54" i="2"/>
  <c r="BI54" i="2"/>
  <c r="BV53" i="2"/>
  <c r="BT53" i="2"/>
  <c r="BS53" i="2"/>
  <c r="BR53" i="2"/>
  <c r="BQ53" i="2"/>
  <c r="BP53" i="2"/>
  <c r="BO53" i="2"/>
  <c r="BN53" i="2"/>
  <c r="BM53" i="2"/>
  <c r="BL53" i="2"/>
  <c r="BK53" i="2"/>
  <c r="BJ53" i="2"/>
  <c r="BI53" i="2"/>
  <c r="BV52" i="2"/>
  <c r="BT52" i="2"/>
  <c r="BS52" i="2"/>
  <c r="BR52" i="2"/>
  <c r="BQ52" i="2"/>
  <c r="BP52" i="2"/>
  <c r="BO52" i="2"/>
  <c r="BN52" i="2"/>
  <c r="BM52" i="2"/>
  <c r="BL52" i="2"/>
  <c r="BK52" i="2"/>
  <c r="BJ52" i="2"/>
  <c r="BI52" i="2"/>
  <c r="BV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V50" i="2"/>
  <c r="BT50" i="2"/>
  <c r="BS50" i="2"/>
  <c r="BR50" i="2"/>
  <c r="BQ50" i="2"/>
  <c r="BP50" i="2"/>
  <c r="BO50" i="2"/>
  <c r="BN50" i="2"/>
  <c r="BM50" i="2"/>
  <c r="BL50" i="2"/>
  <c r="BK50" i="2"/>
  <c r="BJ50" i="2"/>
  <c r="BI50" i="2"/>
  <c r="BV49" i="2"/>
  <c r="BT49" i="2"/>
  <c r="BS49" i="2"/>
  <c r="BR49" i="2"/>
  <c r="BQ49" i="2"/>
  <c r="BP49" i="2"/>
  <c r="BO49" i="2"/>
  <c r="BN49" i="2"/>
  <c r="BM49" i="2"/>
  <c r="BL49" i="2"/>
  <c r="BK49" i="2"/>
  <c r="BJ49" i="2"/>
  <c r="BI49" i="2"/>
  <c r="BV48" i="2"/>
  <c r="BT48" i="2"/>
  <c r="BS48" i="2"/>
  <c r="BR48" i="2"/>
  <c r="BQ48" i="2"/>
  <c r="BP48" i="2"/>
  <c r="BO48" i="2"/>
  <c r="BN48" i="2"/>
  <c r="BM48" i="2"/>
  <c r="BL48" i="2"/>
  <c r="BK48" i="2"/>
  <c r="BJ48" i="2"/>
  <c r="BI48" i="2"/>
  <c r="BV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V46" i="2"/>
  <c r="BT46" i="2"/>
  <c r="BS46" i="2"/>
  <c r="BR46" i="2"/>
  <c r="BQ46" i="2"/>
  <c r="BP46" i="2"/>
  <c r="BO46" i="2"/>
  <c r="BN46" i="2"/>
  <c r="BM46" i="2"/>
  <c r="BL46" i="2"/>
  <c r="BK46" i="2"/>
  <c r="BJ46" i="2"/>
  <c r="BI46" i="2"/>
  <c r="BV45" i="2"/>
  <c r="BT45" i="2"/>
  <c r="BS45" i="2"/>
  <c r="BR45" i="2"/>
  <c r="BQ45" i="2"/>
  <c r="BP45" i="2"/>
  <c r="BO45" i="2"/>
  <c r="BN45" i="2"/>
  <c r="BM45" i="2"/>
  <c r="BL45" i="2"/>
  <c r="BK45" i="2"/>
  <c r="BJ45" i="2"/>
  <c r="BI45" i="2"/>
  <c r="BV44" i="2"/>
  <c r="BT44" i="2"/>
  <c r="BS44" i="2"/>
  <c r="BR44" i="2"/>
  <c r="BQ44" i="2"/>
  <c r="BP44" i="2"/>
  <c r="BO44" i="2"/>
  <c r="BN44" i="2"/>
  <c r="BM44" i="2"/>
  <c r="BL44" i="2"/>
  <c r="BK44" i="2"/>
  <c r="BJ44" i="2"/>
  <c r="BI44" i="2"/>
  <c r="BV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V42" i="2"/>
  <c r="BT42" i="2"/>
  <c r="BS42" i="2"/>
  <c r="BR42" i="2"/>
  <c r="BQ42" i="2"/>
  <c r="BP42" i="2"/>
  <c r="BO42" i="2"/>
  <c r="BN42" i="2"/>
  <c r="BM42" i="2"/>
  <c r="BL42" i="2"/>
  <c r="BK42" i="2"/>
  <c r="BJ42" i="2"/>
  <c r="BI42" i="2"/>
  <c r="BV41" i="2"/>
  <c r="BT41" i="2"/>
  <c r="BS41" i="2"/>
  <c r="BR41" i="2"/>
  <c r="BQ41" i="2"/>
  <c r="BP41" i="2"/>
  <c r="BO41" i="2"/>
  <c r="BN41" i="2"/>
  <c r="BM41" i="2"/>
  <c r="BL41" i="2"/>
  <c r="BK41" i="2"/>
  <c r="BJ41" i="2"/>
  <c r="BI41" i="2"/>
  <c r="BV40" i="2"/>
  <c r="BT40" i="2"/>
  <c r="BS40" i="2"/>
  <c r="BR40" i="2"/>
  <c r="BQ40" i="2"/>
  <c r="BP40" i="2"/>
  <c r="BO40" i="2"/>
  <c r="BN40" i="2"/>
  <c r="BM40" i="2"/>
  <c r="BL40" i="2"/>
  <c r="BK40" i="2"/>
  <c r="BJ40" i="2"/>
  <c r="BI40" i="2"/>
  <c r="BV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V38" i="2"/>
  <c r="BT38" i="2"/>
  <c r="BS38" i="2"/>
  <c r="BR38" i="2"/>
  <c r="BQ38" i="2"/>
  <c r="BP38" i="2"/>
  <c r="BO38" i="2"/>
  <c r="BN38" i="2"/>
  <c r="BM38" i="2"/>
  <c r="BL38" i="2"/>
  <c r="BK38" i="2"/>
  <c r="BJ38" i="2"/>
  <c r="BI38" i="2"/>
  <c r="BV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V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V35" i="2"/>
  <c r="BT35" i="2"/>
  <c r="BS35" i="2"/>
  <c r="BR35" i="2"/>
  <c r="BQ35" i="2"/>
  <c r="BP35" i="2"/>
  <c r="BO35" i="2"/>
  <c r="BN35" i="2"/>
  <c r="BM35" i="2"/>
  <c r="BL35" i="2"/>
  <c r="BK35" i="2"/>
  <c r="BJ35" i="2"/>
  <c r="BI35" i="2"/>
  <c r="BV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V33" i="2"/>
  <c r="BT33" i="2"/>
  <c r="BS33" i="2"/>
  <c r="BR33" i="2"/>
  <c r="BQ33" i="2"/>
  <c r="BP33" i="2"/>
  <c r="BO33" i="2"/>
  <c r="BN33" i="2"/>
  <c r="BM33" i="2"/>
  <c r="BL33" i="2"/>
  <c r="BK33" i="2"/>
  <c r="BJ33" i="2"/>
  <c r="BI33" i="2"/>
  <c r="BV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V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V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BV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V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V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BV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V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V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V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V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V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V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BV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V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V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BV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V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BV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BV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BV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BV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BV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BV9" i="2"/>
  <c r="BT9" i="2"/>
  <c r="BS9" i="2"/>
  <c r="BR9" i="2"/>
  <c r="BQ9" i="2"/>
  <c r="BP9" i="2"/>
  <c r="BO9" i="2"/>
  <c r="BN9" i="2"/>
  <c r="BM9" i="2"/>
  <c r="BL9" i="2"/>
  <c r="BK9" i="2"/>
  <c r="BJ9" i="2"/>
  <c r="BI9" i="2"/>
  <c r="BV8" i="2"/>
  <c r="BT8" i="2"/>
  <c r="BS8" i="2"/>
  <c r="BR8" i="2"/>
  <c r="BQ8" i="2"/>
  <c r="BP8" i="2"/>
  <c r="BO8" i="2"/>
  <c r="BN8" i="2"/>
  <c r="BM8" i="2"/>
  <c r="BL8" i="2"/>
  <c r="BK8" i="2"/>
  <c r="BJ8" i="2"/>
  <c r="BI8" i="2"/>
  <c r="BV7" i="2"/>
  <c r="BT7" i="2"/>
  <c r="BS7" i="2"/>
  <c r="BR7" i="2"/>
  <c r="BQ7" i="2"/>
  <c r="BP7" i="2"/>
  <c r="BO7" i="2"/>
  <c r="BN7" i="2"/>
  <c r="BM7" i="2"/>
  <c r="BL7" i="2"/>
  <c r="BK7" i="2"/>
  <c r="BJ7" i="2"/>
  <c r="BI7" i="2"/>
  <c r="BV6" i="2"/>
  <c r="BT6" i="2"/>
  <c r="BS6" i="2"/>
  <c r="BR6" i="2"/>
  <c r="BQ6" i="2"/>
  <c r="BP6" i="2"/>
  <c r="BO6" i="2"/>
  <c r="BN6" i="2"/>
  <c r="BM6" i="2"/>
  <c r="BL6" i="2"/>
  <c r="BK6" i="2"/>
  <c r="BJ6" i="2"/>
  <c r="BI6" i="2"/>
  <c r="BV5" i="2"/>
  <c r="BT5" i="2"/>
  <c r="BS5" i="2"/>
  <c r="BR5" i="2"/>
  <c r="BQ5" i="2"/>
  <c r="BP5" i="2"/>
  <c r="BO5" i="2"/>
  <c r="BN5" i="2"/>
  <c r="BM5" i="2"/>
  <c r="BL5" i="2"/>
  <c r="BK5" i="2"/>
  <c r="BJ5" i="2"/>
  <c r="BI5" i="2"/>
  <c r="BV4" i="2"/>
  <c r="BT4" i="2"/>
  <c r="BS4" i="2"/>
  <c r="BR4" i="2"/>
  <c r="BQ4" i="2"/>
  <c r="BP4" i="2"/>
  <c r="BO4" i="2"/>
  <c r="BN4" i="2"/>
  <c r="BM4" i="2"/>
  <c r="BL4" i="2"/>
  <c r="BK4" i="2"/>
  <c r="BJ4" i="2"/>
  <c r="BI4" i="2"/>
  <c r="BV3" i="2"/>
  <c r="BT3" i="2"/>
  <c r="BS3" i="2"/>
  <c r="BR3" i="2"/>
  <c r="BQ3" i="2"/>
  <c r="BP3" i="2"/>
  <c r="BO3" i="2"/>
  <c r="BN3" i="2"/>
  <c r="BM3" i="2"/>
  <c r="BL3" i="2"/>
  <c r="BK3" i="2"/>
  <c r="BJ3" i="2"/>
  <c r="BI3" i="2"/>
  <c r="BV2" i="2"/>
  <c r="BT2" i="2"/>
  <c r="BS2" i="2"/>
  <c r="BR2" i="2"/>
  <c r="BQ2" i="2"/>
  <c r="BP2" i="2"/>
  <c r="BO2" i="2"/>
  <c r="BN2" i="2"/>
  <c r="BM2" i="2"/>
  <c r="BL2" i="2"/>
  <c r="BK2" i="2"/>
  <c r="BJ2" i="2"/>
  <c r="BI2" i="2"/>
  <c r="BH59" i="2"/>
  <c r="BH58" i="2"/>
  <c r="BH57" i="2"/>
  <c r="BH56" i="2"/>
  <c r="BH55" i="2"/>
  <c r="BH54" i="2"/>
  <c r="BH53" i="2"/>
  <c r="BH52" i="2"/>
  <c r="BH51" i="2"/>
  <c r="BH50" i="2"/>
  <c r="BH49" i="2"/>
  <c r="BH48" i="2"/>
  <c r="BH47" i="2"/>
  <c r="BH46" i="2"/>
  <c r="BH45" i="2"/>
  <c r="BH44" i="2"/>
  <c r="BH43" i="2"/>
  <c r="BH42" i="2"/>
  <c r="BH41" i="2"/>
  <c r="BH40" i="2"/>
  <c r="BH39" i="2"/>
  <c r="BH38" i="2"/>
  <c r="BH37" i="2"/>
  <c r="BH36" i="2"/>
  <c r="BH35" i="2"/>
  <c r="BH34" i="2"/>
  <c r="BH27" i="2"/>
  <c r="BH26" i="2"/>
  <c r="BH25" i="2"/>
  <c r="BH24" i="2"/>
  <c r="BH23" i="2"/>
  <c r="BH22" i="2"/>
  <c r="BH21" i="2"/>
  <c r="BH20" i="2"/>
  <c r="BH19" i="2"/>
  <c r="BH18" i="2"/>
  <c r="BH17" i="2"/>
  <c r="BH16" i="2"/>
  <c r="BH15" i="2"/>
  <c r="BH14" i="2"/>
  <c r="BH13" i="2"/>
  <c r="BH12" i="2"/>
  <c r="BH11" i="2"/>
  <c r="BH10" i="2"/>
  <c r="BH9" i="2"/>
  <c r="BH8" i="2"/>
  <c r="BH7" i="2"/>
  <c r="BH6" i="2"/>
  <c r="BH5" i="2"/>
  <c r="BH4" i="2"/>
  <c r="BH3" i="2"/>
  <c r="AP59" i="2" l="1"/>
  <c r="AN59" i="2"/>
  <c r="AP58" i="2"/>
  <c r="AN58" i="2"/>
  <c r="AP57" i="2"/>
  <c r="AN57" i="2"/>
  <c r="AP56" i="2"/>
  <c r="AN56" i="2"/>
  <c r="AP55" i="2"/>
  <c r="AN55" i="2"/>
  <c r="AP54" i="2"/>
  <c r="AN54" i="2"/>
  <c r="AP53" i="2"/>
  <c r="AN53" i="2"/>
  <c r="AP52" i="2"/>
  <c r="AN52" i="2"/>
  <c r="AP51" i="2"/>
  <c r="AN51" i="2"/>
  <c r="AP50" i="2"/>
  <c r="AN50" i="2"/>
  <c r="AP49" i="2"/>
  <c r="AN49" i="2"/>
  <c r="AP48" i="2"/>
  <c r="AN48" i="2"/>
  <c r="AP47" i="2"/>
  <c r="AN47" i="2"/>
  <c r="AP46" i="2"/>
  <c r="AN46" i="2"/>
  <c r="AP45" i="2"/>
  <c r="AN45" i="2"/>
  <c r="AP44" i="2"/>
  <c r="AN44" i="2"/>
  <c r="AP43" i="2"/>
  <c r="AN43" i="2"/>
  <c r="AP42" i="2"/>
  <c r="AN42" i="2"/>
  <c r="AP41" i="2"/>
  <c r="AN41" i="2"/>
  <c r="AP40" i="2"/>
  <c r="AN40" i="2"/>
  <c r="AP39" i="2"/>
  <c r="AN39" i="2"/>
  <c r="AP38" i="2"/>
  <c r="AN38" i="2"/>
  <c r="AP37" i="2"/>
  <c r="AN37" i="2"/>
  <c r="AP36" i="2"/>
  <c r="AN36" i="2"/>
  <c r="AP35" i="2"/>
  <c r="AN35" i="2"/>
  <c r="AP34" i="2"/>
  <c r="AN34" i="2"/>
  <c r="AP33" i="2"/>
  <c r="AN33" i="2"/>
  <c r="AP32" i="2"/>
  <c r="AN32" i="2"/>
  <c r="AP31" i="2"/>
  <c r="AN31" i="2"/>
  <c r="AP30" i="2"/>
  <c r="AO30" i="2"/>
  <c r="AN30" i="2"/>
  <c r="AP29" i="2"/>
  <c r="AN29" i="2"/>
  <c r="AP28" i="2"/>
  <c r="AN28" i="2"/>
  <c r="AP27" i="2"/>
  <c r="AN27" i="2"/>
  <c r="AP26" i="2"/>
  <c r="AN26" i="2"/>
  <c r="AP25" i="2"/>
  <c r="AN25" i="2"/>
  <c r="AP24" i="2"/>
  <c r="AN24" i="2"/>
  <c r="AP23" i="2"/>
  <c r="AN23" i="2"/>
  <c r="AP22" i="2"/>
  <c r="AN22" i="2"/>
  <c r="AP21" i="2"/>
  <c r="AN21" i="2"/>
  <c r="AP20" i="2"/>
  <c r="AN20" i="2"/>
  <c r="AP19" i="2"/>
  <c r="AN19" i="2"/>
  <c r="AP18" i="2"/>
  <c r="AN18" i="2"/>
  <c r="AP17" i="2"/>
  <c r="AN17" i="2"/>
  <c r="AP16" i="2"/>
  <c r="AN16" i="2"/>
  <c r="AP15" i="2"/>
  <c r="AN15" i="2"/>
  <c r="AP14" i="2"/>
  <c r="AN14" i="2"/>
  <c r="AP13" i="2"/>
  <c r="AN13" i="2"/>
  <c r="AP12" i="2"/>
  <c r="AN12" i="2"/>
  <c r="AP11" i="2"/>
  <c r="AN11" i="2"/>
  <c r="AP10" i="2"/>
  <c r="AN10" i="2"/>
  <c r="AP9" i="2"/>
  <c r="AN9" i="2"/>
  <c r="AP8" i="2"/>
  <c r="AO8" i="2"/>
  <c r="AN8" i="2"/>
  <c r="AP7" i="2"/>
  <c r="AN7" i="2"/>
  <c r="AP6" i="2"/>
  <c r="AN6" i="2"/>
  <c r="AP5" i="2"/>
  <c r="AN5" i="2"/>
  <c r="AP4" i="2"/>
  <c r="AN4" i="2"/>
  <c r="AP3" i="2"/>
  <c r="AN3" i="2"/>
  <c r="AP2" i="2"/>
  <c r="AN2" i="2"/>
  <c r="AM59" i="2"/>
  <c r="AM58" i="2"/>
  <c r="AM57" i="2"/>
  <c r="AM56" i="2"/>
  <c r="AM55" i="2"/>
  <c r="AM54" i="2"/>
  <c r="AM53" i="2"/>
  <c r="AM52" i="2"/>
  <c r="AM51" i="2"/>
  <c r="AM50" i="2"/>
  <c r="AM49" i="2"/>
  <c r="AM48" i="2"/>
  <c r="AM47" i="2"/>
  <c r="AM46" i="2"/>
  <c r="AM45" i="2"/>
  <c r="AM44" i="2"/>
  <c r="AM43" i="2"/>
  <c r="AM42" i="2"/>
  <c r="AM41" i="2"/>
  <c r="AM40" i="2"/>
  <c r="AM39" i="2"/>
  <c r="AM38" i="2"/>
  <c r="AM37" i="2"/>
  <c r="AM36" i="2"/>
  <c r="AM35" i="2"/>
  <c r="AM34" i="2"/>
  <c r="AM33" i="2"/>
  <c r="AM32" i="2"/>
  <c r="AM31" i="2"/>
  <c r="AM30" i="2"/>
  <c r="AM29" i="2"/>
  <c r="AM28" i="2"/>
  <c r="AM27" i="2"/>
  <c r="AM26" i="2"/>
  <c r="AM25" i="2"/>
  <c r="AM24" i="2"/>
  <c r="AM23" i="2"/>
  <c r="AM22" i="2"/>
  <c r="AM21" i="2"/>
  <c r="AM20" i="2"/>
  <c r="AM19" i="2"/>
  <c r="AM18" i="2"/>
  <c r="AM17" i="2"/>
  <c r="AM16" i="2"/>
  <c r="AM15" i="2"/>
  <c r="AM14" i="2"/>
  <c r="AM13" i="2"/>
  <c r="AM12" i="2"/>
  <c r="AM11" i="2"/>
  <c r="AM10" i="2"/>
  <c r="AM9" i="2"/>
  <c r="AM8" i="2"/>
  <c r="AM7" i="2"/>
  <c r="AM6" i="2"/>
  <c r="AM5" i="2"/>
  <c r="AM4" i="2"/>
  <c r="AM3" i="2"/>
  <c r="AM2" i="2"/>
  <c r="AQ1" i="2"/>
  <c r="AP1" i="2"/>
  <c r="AO1" i="2"/>
  <c r="AN1" i="2"/>
  <c r="AM1" i="2"/>
  <c r="AK59" i="2"/>
  <c r="AK58" i="2"/>
  <c r="AK57" i="2"/>
  <c r="AK56" i="2"/>
  <c r="AK55" i="2"/>
  <c r="AK54" i="2"/>
  <c r="AK53" i="2"/>
  <c r="AK52" i="2"/>
  <c r="AK51" i="2"/>
  <c r="AK50" i="2"/>
  <c r="AK49" i="2"/>
  <c r="AK48" i="2"/>
  <c r="AK47" i="2"/>
  <c r="AK46" i="2"/>
  <c r="AK45" i="2"/>
  <c r="AL44" i="2"/>
  <c r="AK44" i="2"/>
  <c r="AK43" i="2"/>
  <c r="AK42" i="2"/>
  <c r="AK41" i="2"/>
  <c r="AK40" i="2"/>
  <c r="AK39" i="2"/>
  <c r="AK38" i="2"/>
  <c r="AK37" i="2"/>
  <c r="AK36" i="2"/>
  <c r="AK35" i="2"/>
  <c r="AK34" i="2"/>
  <c r="AK33" i="2"/>
  <c r="AK32" i="2"/>
  <c r="AK31" i="2"/>
  <c r="AL30" i="2"/>
  <c r="AK30" i="2"/>
  <c r="AK29" i="2"/>
  <c r="AK28" i="2"/>
  <c r="AK27" i="2"/>
  <c r="AK26" i="2"/>
  <c r="AK25" i="2"/>
  <c r="AK24" i="2"/>
  <c r="AK23" i="2"/>
  <c r="AK22" i="2"/>
  <c r="AK21" i="2"/>
  <c r="AK20" i="2"/>
  <c r="AK19" i="2"/>
  <c r="AK18" i="2"/>
  <c r="AK17" i="2"/>
  <c r="AK16" i="2"/>
  <c r="AK15" i="2"/>
  <c r="AK14" i="2"/>
  <c r="AK13" i="2"/>
  <c r="AK12" i="2"/>
  <c r="AK11" i="2"/>
  <c r="AK10" i="2"/>
  <c r="AK9" i="2"/>
  <c r="AK8" i="2"/>
  <c r="AK7" i="2"/>
  <c r="AK6" i="2"/>
  <c r="AK5" i="2"/>
  <c r="AL4" i="2"/>
  <c r="AK4" i="2"/>
  <c r="AK3" i="2"/>
  <c r="AK2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A59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A58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A57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A56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A55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A23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22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14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13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10" i="2"/>
  <c r="N9" i="2"/>
  <c r="M9" i="2"/>
  <c r="L9" i="2"/>
  <c r="K9" i="2"/>
  <c r="J9" i="2"/>
  <c r="I9" i="2"/>
  <c r="H9" i="2"/>
  <c r="G9" i="2"/>
  <c r="F9" i="2"/>
  <c r="E9" i="2"/>
  <c r="D9" i="2"/>
  <c r="C9" i="2"/>
  <c r="B9" i="2"/>
  <c r="A9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N7" i="2"/>
  <c r="M7" i="2"/>
  <c r="L7" i="2"/>
  <c r="K7" i="2"/>
  <c r="J7" i="2"/>
  <c r="I7" i="2"/>
  <c r="H7" i="2"/>
  <c r="G7" i="2"/>
  <c r="F7" i="2"/>
  <c r="E7" i="2"/>
  <c r="D7" i="2"/>
  <c r="C7" i="2"/>
  <c r="B7" i="2"/>
  <c r="A7" i="2"/>
  <c r="N6" i="2"/>
  <c r="M6" i="2"/>
  <c r="L6" i="2"/>
  <c r="K6" i="2"/>
  <c r="J6" i="2"/>
  <c r="I6" i="2"/>
  <c r="H6" i="2"/>
  <c r="G6" i="2"/>
  <c r="F6" i="2"/>
  <c r="E6" i="2"/>
  <c r="D6" i="2"/>
  <c r="C6" i="2"/>
  <c r="B6" i="2"/>
  <c r="A6" i="2"/>
  <c r="N5" i="2"/>
  <c r="M5" i="2"/>
  <c r="L5" i="2"/>
  <c r="K5" i="2"/>
  <c r="J5" i="2"/>
  <c r="I5" i="2"/>
  <c r="H5" i="2"/>
  <c r="G5" i="2"/>
  <c r="F5" i="2"/>
  <c r="E5" i="2"/>
  <c r="D5" i="2"/>
  <c r="C5" i="2"/>
  <c r="B5" i="2"/>
  <c r="A5" i="2"/>
  <c r="N4" i="2"/>
  <c r="M4" i="2"/>
  <c r="L4" i="2"/>
  <c r="K4" i="2"/>
  <c r="J4" i="2"/>
  <c r="I4" i="2"/>
  <c r="H4" i="2"/>
  <c r="G4" i="2"/>
  <c r="F4" i="2"/>
  <c r="E4" i="2"/>
  <c r="D4" i="2"/>
  <c r="C4" i="2"/>
  <c r="B4" i="2"/>
  <c r="A4" i="2"/>
  <c r="N3" i="2"/>
  <c r="M3" i="2"/>
  <c r="L3" i="2"/>
  <c r="K3" i="2"/>
  <c r="J3" i="2"/>
  <c r="I3" i="2"/>
  <c r="H3" i="2"/>
  <c r="G3" i="2"/>
  <c r="F3" i="2"/>
  <c r="E3" i="2"/>
  <c r="D3" i="2"/>
  <c r="C3" i="2"/>
  <c r="B3" i="2"/>
  <c r="A3" i="2"/>
  <c r="N2" i="2"/>
  <c r="M2" i="2"/>
  <c r="L2" i="2"/>
  <c r="K2" i="2"/>
  <c r="J2" i="2"/>
  <c r="I2" i="2"/>
  <c r="H2" i="2"/>
  <c r="G2" i="2"/>
  <c r="F2" i="2"/>
  <c r="E2" i="2"/>
  <c r="D2" i="2"/>
  <c r="C2" i="2"/>
  <c r="B2" i="2"/>
  <c r="A2" i="2"/>
  <c r="AJ2" i="2"/>
  <c r="AH13" i="2"/>
  <c r="AQ13" i="2" s="1"/>
  <c r="AH12" i="2"/>
  <c r="AQ12" i="2" s="1"/>
  <c r="AH11" i="2"/>
  <c r="AQ11" i="2" s="1"/>
  <c r="AH9" i="2"/>
  <c r="AQ9" i="2" s="1"/>
  <c r="AF59" i="2"/>
  <c r="AO59" i="2" s="1"/>
  <c r="AF58" i="2"/>
  <c r="AO58" i="2" s="1"/>
  <c r="AF57" i="2"/>
  <c r="AO57" i="2" s="1"/>
  <c r="AF56" i="2"/>
  <c r="AL56" i="2" s="1"/>
  <c r="AF55" i="2"/>
  <c r="AH55" i="2" s="1"/>
  <c r="AQ55" i="2" s="1"/>
  <c r="AF54" i="2"/>
  <c r="AH54" i="2" s="1"/>
  <c r="AQ54" i="2" s="1"/>
  <c r="AF53" i="2"/>
  <c r="AH53" i="2" s="1"/>
  <c r="AQ53" i="2" s="1"/>
  <c r="AF52" i="2"/>
  <c r="AH52" i="2" s="1"/>
  <c r="AQ52" i="2" s="1"/>
  <c r="AF51" i="2"/>
  <c r="AH51" i="2" s="1"/>
  <c r="AQ51" i="2" s="1"/>
  <c r="AF50" i="2"/>
  <c r="AH50" i="2" s="1"/>
  <c r="AQ50" i="2" s="1"/>
  <c r="AF49" i="2"/>
  <c r="AH49" i="2" s="1"/>
  <c r="AQ49" i="2" s="1"/>
  <c r="AF48" i="2"/>
  <c r="AO48" i="2" s="1"/>
  <c r="AF47" i="2"/>
  <c r="AH47" i="2" s="1"/>
  <c r="AQ47" i="2" s="1"/>
  <c r="AF46" i="2"/>
  <c r="AH46" i="2" s="1"/>
  <c r="AQ46" i="2" s="1"/>
  <c r="AF45" i="2"/>
  <c r="AL45" i="2" s="1"/>
  <c r="AF44" i="2"/>
  <c r="AO44" i="2" s="1"/>
  <c r="AF43" i="2"/>
  <c r="AO43" i="2" s="1"/>
  <c r="AF42" i="2"/>
  <c r="AO42" i="2" s="1"/>
  <c r="AF41" i="2"/>
  <c r="AO41" i="2" s="1"/>
  <c r="AF40" i="2"/>
  <c r="AL40" i="2" s="1"/>
  <c r="AF39" i="2"/>
  <c r="AO39" i="2" s="1"/>
  <c r="AF38" i="2"/>
  <c r="AL38" i="2" s="1"/>
  <c r="AF37" i="2"/>
  <c r="AH37" i="2" s="1"/>
  <c r="AQ37" i="2" s="1"/>
  <c r="AF36" i="2"/>
  <c r="AH36" i="2" s="1"/>
  <c r="AQ36" i="2" s="1"/>
  <c r="AF35" i="2"/>
  <c r="AO35" i="2" s="1"/>
  <c r="AF34" i="2"/>
  <c r="AO34" i="2" s="1"/>
  <c r="AF33" i="2"/>
  <c r="AO33" i="2" s="1"/>
  <c r="AF32" i="2"/>
  <c r="AO32" i="2" s="1"/>
  <c r="AF31" i="2"/>
  <c r="AO31" i="2" s="1"/>
  <c r="AF30" i="2"/>
  <c r="AH30" i="2" s="1"/>
  <c r="AQ30" i="2" s="1"/>
  <c r="AF29" i="2"/>
  <c r="AL29" i="2" s="1"/>
  <c r="AF28" i="2"/>
  <c r="AL28" i="2" s="1"/>
  <c r="AF27" i="2"/>
  <c r="AO27" i="2" s="1"/>
  <c r="AF26" i="2"/>
  <c r="AH26" i="2" s="1"/>
  <c r="AQ26" i="2" s="1"/>
  <c r="AF25" i="2"/>
  <c r="AH25" i="2" s="1"/>
  <c r="AQ25" i="2" s="1"/>
  <c r="AF24" i="2"/>
  <c r="AH24" i="2" s="1"/>
  <c r="AQ24" i="2" s="1"/>
  <c r="AF23" i="2"/>
  <c r="AH23" i="2" s="1"/>
  <c r="AQ23" i="2" s="1"/>
  <c r="AF22" i="2"/>
  <c r="AH22" i="2" s="1"/>
  <c r="AQ22" i="2" s="1"/>
  <c r="AF21" i="2"/>
  <c r="AH21" i="2" s="1"/>
  <c r="AQ21" i="2" s="1"/>
  <c r="AF20" i="2"/>
  <c r="AH20" i="2" s="1"/>
  <c r="AQ20" i="2" s="1"/>
  <c r="AF19" i="2"/>
  <c r="AH19" i="2" s="1"/>
  <c r="AQ19" i="2" s="1"/>
  <c r="AF18" i="2"/>
  <c r="AH18" i="2" s="1"/>
  <c r="AQ18" i="2" s="1"/>
  <c r="AF17" i="2"/>
  <c r="AH17" i="2" s="1"/>
  <c r="AQ17" i="2" s="1"/>
  <c r="AF16" i="2"/>
  <c r="AH16" i="2" s="1"/>
  <c r="AQ16" i="2" s="1"/>
  <c r="AF15" i="2"/>
  <c r="AH15" i="2" s="1"/>
  <c r="AQ15" i="2" s="1"/>
  <c r="AF14" i="2"/>
  <c r="AH14" i="2" s="1"/>
  <c r="AQ14" i="2" s="1"/>
  <c r="AF13" i="2"/>
  <c r="AL13" i="2" s="1"/>
  <c r="AF12" i="2"/>
  <c r="AL12" i="2" s="1"/>
  <c r="AF11" i="2"/>
  <c r="AO11" i="2" s="1"/>
  <c r="AF10" i="2"/>
  <c r="AO10" i="2" s="1"/>
  <c r="AF9" i="2"/>
  <c r="AO9" i="2" s="1"/>
  <c r="AF8" i="2"/>
  <c r="AH8" i="2" s="1"/>
  <c r="AQ8" i="2" s="1"/>
  <c r="AF7" i="2"/>
  <c r="AO7" i="2" s="1"/>
  <c r="AF6" i="2"/>
  <c r="AL6" i="2" s="1"/>
  <c r="AF5" i="2"/>
  <c r="AH5" i="2" s="1"/>
  <c r="AQ5" i="2" s="1"/>
  <c r="AF4" i="2"/>
  <c r="AH4" i="2" s="1"/>
  <c r="AQ4" i="2" s="1"/>
  <c r="AF3" i="2"/>
  <c r="AO3" i="2" s="1"/>
  <c r="AF2" i="2"/>
  <c r="AO2" i="2" s="1"/>
  <c r="AH27" i="2" l="1"/>
  <c r="AQ27" i="2" s="1"/>
  <c r="AO52" i="2"/>
  <c r="AO12" i="2"/>
  <c r="AO56" i="2"/>
  <c r="AL24" i="2"/>
  <c r="AO28" i="2"/>
  <c r="AH28" i="2"/>
  <c r="AQ28" i="2" s="1"/>
  <c r="AH56" i="2"/>
  <c r="AQ56" i="2" s="1"/>
  <c r="AL55" i="2"/>
  <c r="AH29" i="2"/>
  <c r="AQ29" i="2" s="1"/>
  <c r="AO24" i="2"/>
  <c r="BH2" i="2"/>
  <c r="AO29" i="2"/>
  <c r="AO22" i="2"/>
  <c r="AO36" i="2"/>
  <c r="AO13" i="2"/>
  <c r="AH43" i="2"/>
  <c r="AQ43" i="2" s="1"/>
  <c r="AL11" i="2"/>
  <c r="AO40" i="2"/>
  <c r="AH44" i="2"/>
  <c r="AQ44" i="2" s="1"/>
  <c r="AH32" i="2"/>
  <c r="AQ32" i="2" s="1"/>
  <c r="AH35" i="2"/>
  <c r="AQ35" i="2" s="1"/>
  <c r="AL36" i="2"/>
  <c r="AO54" i="2"/>
  <c r="AH33" i="2"/>
  <c r="AQ33" i="2" s="1"/>
  <c r="AL37" i="2"/>
  <c r="AO37" i="2"/>
  <c r="AL7" i="2"/>
  <c r="AH40" i="2"/>
  <c r="AQ40" i="2" s="1"/>
  <c r="AO4" i="2"/>
  <c r="AL8" i="2"/>
  <c r="AL14" i="2"/>
  <c r="AL31" i="2"/>
  <c r="AL9" i="2"/>
  <c r="AO5" i="2"/>
  <c r="AL41" i="2"/>
  <c r="AH38" i="2"/>
  <c r="AQ38" i="2" s="1"/>
  <c r="AL39" i="2"/>
  <c r="AO6" i="2"/>
  <c r="AL5" i="2"/>
  <c r="AO38" i="2"/>
  <c r="AH39" i="2"/>
  <c r="AQ39" i="2" s="1"/>
  <c r="AH41" i="2"/>
  <c r="AQ41" i="2" s="1"/>
  <c r="AH6" i="2"/>
  <c r="AQ6" i="2" s="1"/>
  <c r="AO20" i="2"/>
  <c r="AO45" i="2"/>
  <c r="AL32" i="2"/>
  <c r="AH45" i="2"/>
  <c r="AQ45" i="2" s="1"/>
  <c r="AH7" i="2"/>
  <c r="AQ7" i="2" s="1"/>
  <c r="AL43" i="2"/>
  <c r="AH31" i="2"/>
  <c r="AQ31" i="2" s="1"/>
  <c r="AL23" i="2"/>
  <c r="AL17" i="2"/>
  <c r="AL33" i="2"/>
  <c r="AL49" i="2"/>
  <c r="AH34" i="2"/>
  <c r="AQ34" i="2" s="1"/>
  <c r="AO21" i="2"/>
  <c r="AO53" i="2"/>
  <c r="AL2" i="2"/>
  <c r="AL34" i="2"/>
  <c r="AL46" i="2"/>
  <c r="AL16" i="2"/>
  <c r="AL18" i="2"/>
  <c r="AL50" i="2"/>
  <c r="AL3" i="2"/>
  <c r="AL19" i="2"/>
  <c r="AL35" i="2"/>
  <c r="AL51" i="2"/>
  <c r="AL15" i="2"/>
  <c r="AL47" i="2"/>
  <c r="AO14" i="2"/>
  <c r="AH3" i="2"/>
  <c r="AQ3" i="2" s="1"/>
  <c r="AH42" i="2"/>
  <c r="AQ42" i="2" s="1"/>
  <c r="AO15" i="2"/>
  <c r="AO23" i="2"/>
  <c r="AO47" i="2"/>
  <c r="AO55" i="2"/>
  <c r="AO46" i="2"/>
  <c r="AL22" i="2"/>
  <c r="AL54" i="2"/>
  <c r="AL20" i="2"/>
  <c r="AL52" i="2"/>
  <c r="AH2" i="2"/>
  <c r="AQ2" i="2" s="1"/>
  <c r="AL21" i="2"/>
  <c r="AL53" i="2"/>
  <c r="AH48" i="2"/>
  <c r="AQ48" i="2" s="1"/>
  <c r="AH10" i="2"/>
  <c r="AQ10" i="2" s="1"/>
  <c r="AL25" i="2"/>
  <c r="AL57" i="2"/>
  <c r="AH57" i="2"/>
  <c r="AQ57" i="2" s="1"/>
  <c r="AO17" i="2"/>
  <c r="AO25" i="2"/>
  <c r="AO49" i="2"/>
  <c r="AL48" i="2"/>
  <c r="AH58" i="2"/>
  <c r="AQ58" i="2" s="1"/>
  <c r="AL10" i="2"/>
  <c r="AL26" i="2"/>
  <c r="AL42" i="2"/>
  <c r="AL58" i="2"/>
  <c r="AH59" i="2"/>
  <c r="AQ59" i="2" s="1"/>
  <c r="AL27" i="2"/>
  <c r="AL59" i="2"/>
  <c r="AO18" i="2"/>
  <c r="AO26" i="2"/>
  <c r="AO50" i="2"/>
  <c r="AO16" i="2"/>
  <c r="AO19" i="2"/>
  <c r="AO51" i="2"/>
</calcChain>
</file>

<file path=xl/sharedStrings.xml><?xml version="1.0" encoding="utf-8"?>
<sst xmlns="http://schemas.openxmlformats.org/spreadsheetml/2006/main" count="210" uniqueCount="171">
  <si>
    <t>Code</t>
  </si>
  <si>
    <t xml:space="preserve">    01</t>
  </si>
  <si>
    <t xml:space="preserve">    02</t>
  </si>
  <si>
    <t xml:space="preserve">    03</t>
  </si>
  <si>
    <t xml:space="preserve">    04</t>
  </si>
  <si>
    <t xml:space="preserve">        04.1</t>
  </si>
  <si>
    <t xml:space="preserve">        04.2</t>
  </si>
  <si>
    <t xml:space="preserve">        04.3</t>
  </si>
  <si>
    <t xml:space="preserve">        04.4</t>
  </si>
  <si>
    <t xml:space="preserve">            04.4.1</t>
  </si>
  <si>
    <t xml:space="preserve">            04.4.2</t>
  </si>
  <si>
    <t xml:space="preserve">            04.4.3</t>
  </si>
  <si>
    <t xml:space="preserve">            04.4.4</t>
  </si>
  <si>
    <t xml:space="preserve">        04.5</t>
  </si>
  <si>
    <t xml:space="preserve">            04.5.1</t>
  </si>
  <si>
    <t xml:space="preserve">            04.5.2</t>
  </si>
  <si>
    <t xml:space="preserve">            04.5.3</t>
  </si>
  <si>
    <t xml:space="preserve">            04.5.4</t>
  </si>
  <si>
    <t xml:space="preserve">            04.5.5</t>
  </si>
  <si>
    <t xml:space="preserve">    05</t>
  </si>
  <si>
    <t xml:space="preserve">    06</t>
  </si>
  <si>
    <t xml:space="preserve">    07</t>
  </si>
  <si>
    <t xml:space="preserve">        07.1</t>
  </si>
  <si>
    <t xml:space="preserve">            07.1.1</t>
  </si>
  <si>
    <t xml:space="preserve">            07.1.2</t>
  </si>
  <si>
    <t xml:space="preserve">            07.1.3</t>
  </si>
  <si>
    <t xml:space="preserve">        07.2</t>
  </si>
  <si>
    <t xml:space="preserve">            07.2.1</t>
  </si>
  <si>
    <t xml:space="preserve">            07.2.2</t>
  </si>
  <si>
    <t xml:space="preserve">            07.2.3</t>
  </si>
  <si>
    <t xml:space="preserve">            07.2.4</t>
  </si>
  <si>
    <t xml:space="preserve">        07.3</t>
  </si>
  <si>
    <t xml:space="preserve">            07.3.1</t>
  </si>
  <si>
    <t xml:space="preserve">            07.3.2</t>
  </si>
  <si>
    <t xml:space="preserve">            07.3.3</t>
  </si>
  <si>
    <t xml:space="preserve">            07.3.4</t>
  </si>
  <si>
    <t xml:space="preserve">            07.3.5</t>
  </si>
  <si>
    <t xml:space="preserve">            07.3.6</t>
  </si>
  <si>
    <t xml:space="preserve">    08</t>
  </si>
  <si>
    <t xml:space="preserve">    09</t>
  </si>
  <si>
    <t xml:space="preserve">    10</t>
  </si>
  <si>
    <t xml:space="preserve">    11</t>
  </si>
  <si>
    <t xml:space="preserve">    12</t>
  </si>
  <si>
    <t xml:space="preserve">    15</t>
  </si>
  <si>
    <t>01..12+15</t>
  </si>
  <si>
    <t>01..12+15 (HS)</t>
  </si>
  <si>
    <t>13</t>
  </si>
  <si>
    <t xml:space="preserve">    13.3</t>
  </si>
  <si>
    <t xml:space="preserve">    13.4</t>
  </si>
  <si>
    <t xml:space="preserve">    13.5</t>
  </si>
  <si>
    <t xml:space="preserve">    13.6</t>
  </si>
  <si>
    <t>14</t>
  </si>
  <si>
    <t xml:space="preserve">    14.1</t>
  </si>
  <si>
    <t xml:space="preserve">    14.2</t>
  </si>
  <si>
    <t xml:space="preserve">    14.3</t>
  </si>
  <si>
    <t xml:space="preserve">    14.4</t>
  </si>
  <si>
    <t xml:space="preserve">    14.5</t>
  </si>
  <si>
    <t>Fonction</t>
  </si>
  <si>
    <t>Produits alimentaires et boissons non alcoolisées</t>
  </si>
  <si>
    <t>Boissons alcoolisées et tabac</t>
  </si>
  <si>
    <t>Articles d'habillement et chaussures</t>
  </si>
  <si>
    <t>Logement, eau, gaz, électricité et autres combustibles</t>
  </si>
  <si>
    <t>Loyers effectifs</t>
  </si>
  <si>
    <t>Loyers imputés</t>
  </si>
  <si>
    <t>Entretien et réparation des logements</t>
  </si>
  <si>
    <t>Autres services liés au logement</t>
  </si>
  <si>
    <t>Distribution d'eau</t>
  </si>
  <si>
    <t>Collecte des ordures ménagères</t>
  </si>
  <si>
    <t>Services d'assainissement</t>
  </si>
  <si>
    <t>Ramonage, gardiennage, et entretien des ascenseurs</t>
  </si>
  <si>
    <t>Électricité, gaz et autres combustibles</t>
  </si>
  <si>
    <t>Électricité</t>
  </si>
  <si>
    <t>Gaz</t>
  </si>
  <si>
    <t>Combustibles liquides</t>
  </si>
  <si>
    <t>Combustibles solides</t>
  </si>
  <si>
    <t>Eau chaude et vapeur d'eau</t>
  </si>
  <si>
    <t>Meubles, articles de ménage et entretien courant de l'habitation</t>
  </si>
  <si>
    <t>Santé</t>
  </si>
  <si>
    <t>Transports</t>
  </si>
  <si>
    <t>Achat de véhicules</t>
  </si>
  <si>
    <t>Automobiles neuves et d'occasion</t>
  </si>
  <si>
    <t>Motos</t>
  </si>
  <si>
    <t>Bicyclettes</t>
  </si>
  <si>
    <t>Dépenses d'utilisation des véhicules</t>
  </si>
  <si>
    <t>Pièces détachées et accessoires</t>
  </si>
  <si>
    <t>Carburants et lubrifiants</t>
  </si>
  <si>
    <t>Entretien et réparation de véhicules particuliers</t>
  </si>
  <si>
    <t>Services divers liés aux véhicules particuliers</t>
  </si>
  <si>
    <t>Services de transport</t>
  </si>
  <si>
    <t>Transport ferroviaire de passagers</t>
  </si>
  <si>
    <t>Transport routier de passagers</t>
  </si>
  <si>
    <t>Transport aérien de passagers</t>
  </si>
  <si>
    <t>Transport maritime et fluvial de passagers</t>
  </si>
  <si>
    <t>Transport combiné de passagers</t>
  </si>
  <si>
    <t>Services de transport divers</t>
  </si>
  <si>
    <t>Communications</t>
  </si>
  <si>
    <t>Loisirs et culture</t>
  </si>
  <si>
    <t>Éducation</t>
  </si>
  <si>
    <t>Hôtels, cafés et restaurants</t>
  </si>
  <si>
    <t>Biens et services divers</t>
  </si>
  <si>
    <t>Action sociale</t>
  </si>
  <si>
    <t>Autres services</t>
  </si>
  <si>
    <t>Solde territorial</t>
  </si>
  <si>
    <t>Dépense de consommation des ménages</t>
  </si>
  <si>
    <t>Dépense de consommation des ménages hors SIFIM</t>
  </si>
  <si>
    <t>Dépense de consommation finale individualisable des ISBLSM</t>
  </si>
  <si>
    <t>Enseignement</t>
  </si>
  <si>
    <t>Dépense de consommation finale individualisable des APU</t>
  </si>
  <si>
    <t>Logement</t>
  </si>
  <si>
    <t>Consommation effective des ménages</t>
  </si>
  <si>
    <t>Année</t>
  </si>
  <si>
    <t>Alimentation</t>
  </si>
  <si>
    <t>Vice</t>
  </si>
  <si>
    <t>Habillement</t>
  </si>
  <si>
    <t>Energie domestique</t>
  </si>
  <si>
    <t>Transports perso</t>
  </si>
  <si>
    <t>Meubles et articles domestiques</t>
  </si>
  <si>
    <t>Hôtellerie restauration</t>
  </si>
  <si>
    <t>Depenses de consommation</t>
  </si>
  <si>
    <t>Depenses contraintes</t>
  </si>
  <si>
    <t>Dépenses non contraintes</t>
  </si>
  <si>
    <t>Revenu libéré</t>
  </si>
  <si>
    <t>Revenu disponible</t>
  </si>
  <si>
    <t>IPC2010</t>
  </si>
  <si>
    <t>Population moyenne</t>
  </si>
  <si>
    <t>walim</t>
  </si>
  <si>
    <t>wvice</t>
  </si>
  <si>
    <t>whab</t>
  </si>
  <si>
    <t>wenerdom</t>
  </si>
  <si>
    <t>wmeubles</t>
  </si>
  <si>
    <t>wlogement</t>
  </si>
  <si>
    <t>wsanté</t>
  </si>
  <si>
    <t>wtranspers</t>
  </si>
  <si>
    <t>wservtrans</t>
  </si>
  <si>
    <t>wcomm</t>
  </si>
  <si>
    <t>wloisirs</t>
  </si>
  <si>
    <t>weduc</t>
  </si>
  <si>
    <t>wrestau</t>
  </si>
  <si>
    <t>wdivers</t>
  </si>
  <si>
    <t>wdepcont</t>
  </si>
  <si>
    <t>wdeplibres</t>
  </si>
  <si>
    <t>ip10alim</t>
  </si>
  <si>
    <t>ip10vice</t>
  </si>
  <si>
    <t>ip10hab</t>
  </si>
  <si>
    <t>ip10enerdom</t>
  </si>
  <si>
    <t>ip10logement</t>
  </si>
  <si>
    <t>ip10meubles</t>
  </si>
  <si>
    <t>ip10santé</t>
  </si>
  <si>
    <t>ip10transpers</t>
  </si>
  <si>
    <t>ip10servtrans</t>
  </si>
  <si>
    <t>ip10comm</t>
  </si>
  <si>
    <t>ip10loisirs</t>
  </si>
  <si>
    <t>ip10educ</t>
  </si>
  <si>
    <t>ip10restau</t>
  </si>
  <si>
    <t>ip10divers</t>
  </si>
  <si>
    <t>IPSTONE10</t>
  </si>
  <si>
    <t>RDBSTONE10</t>
  </si>
  <si>
    <t>lnip10alim</t>
  </si>
  <si>
    <t>lnip10vice</t>
  </si>
  <si>
    <t>lnip10hab</t>
  </si>
  <si>
    <t>lnip10enerdom</t>
  </si>
  <si>
    <t>lnip10logement</t>
  </si>
  <si>
    <t>lnip10meubles</t>
  </si>
  <si>
    <t>lnip10santé</t>
  </si>
  <si>
    <t>lnip10transpers</t>
  </si>
  <si>
    <t>lnip10servtrans</t>
  </si>
  <si>
    <t>lnip10comm</t>
  </si>
  <si>
    <t>lnip10loisirs</t>
  </si>
  <si>
    <t>lnip10educ</t>
  </si>
  <si>
    <t>lnip10restau</t>
  </si>
  <si>
    <t>lnip10divers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</si>
</sst>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"/>
    <numFmt numFmtId="165" formatCode="0.000"/>
    <numFmt numFmtId="166" formatCode="#,##0.0"/>
  </numFmts>
  <fonts count="3" x14ac:knownFonts="1">
    <font>
      <sz val="10"/>
      <color theme="1"/>
      <name val="DejaVu Serif"/>
      <family val="2"/>
    </font>
    <font>
      <sz val="8"/>
      <name val="Arial"/>
      <family val="2"/>
    </font>
    <font>
      <sz val="10"/>
      <color theme="1"/>
      <name val="DejaVu Serif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 applyAlignment="1">
      <alignment horizontal="left" vertical="center" indent="1"/>
    </xf>
    <xf numFmtId="166" fontId="1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/>
    <xf numFmtId="1" fontId="2" fillId="0" borderId="0" xfId="0" applyNumberFormat="1" applyFont="1"/>
    <xf numFmtId="165" fontId="2" fillId="0" borderId="0" xfId="0" applyNumberFormat="1" applyFont="1"/>
    <xf numFmtId="1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3078641358959284E-2"/>
          <c:y val="8.790396616918271E-2"/>
          <c:w val="0.90056534423294488"/>
          <c:h val="0.85976078066966477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data_factomineR!$AQ$1</c:f>
              <c:strCache>
                <c:ptCount val="1"/>
                <c:pt idx="0">
                  <c:v>Revenu libéré 2010</c:v>
                </c:pt>
              </c:strCache>
            </c:strRef>
          </c:tx>
          <c:xVal>
            <c:numRef>
              <c:f>data_factomineR!$O$2:$O$59</c:f>
              <c:numCache>
                <c:formatCode>General</c:formatCode>
                <c:ptCount val="58"/>
                <c:pt idx="0">
                  <c:v>1959</c:v>
                </c:pt>
                <c:pt idx="1">
                  <c:v>1960</c:v>
                </c:pt>
                <c:pt idx="2">
                  <c:v>1961</c:v>
                </c:pt>
                <c:pt idx="3">
                  <c:v>1962</c:v>
                </c:pt>
                <c:pt idx="4">
                  <c:v>1963</c:v>
                </c:pt>
                <c:pt idx="5">
                  <c:v>1964</c:v>
                </c:pt>
                <c:pt idx="6">
                  <c:v>1965</c:v>
                </c:pt>
                <c:pt idx="7">
                  <c:v>1966</c:v>
                </c:pt>
                <c:pt idx="8">
                  <c:v>1967</c:v>
                </c:pt>
                <c:pt idx="9">
                  <c:v>1968</c:v>
                </c:pt>
                <c:pt idx="10">
                  <c:v>1969</c:v>
                </c:pt>
                <c:pt idx="11">
                  <c:v>1970</c:v>
                </c:pt>
                <c:pt idx="12">
                  <c:v>1971</c:v>
                </c:pt>
                <c:pt idx="13">
                  <c:v>1972</c:v>
                </c:pt>
                <c:pt idx="14">
                  <c:v>1973</c:v>
                </c:pt>
                <c:pt idx="15">
                  <c:v>1974</c:v>
                </c:pt>
                <c:pt idx="16">
                  <c:v>1975</c:v>
                </c:pt>
                <c:pt idx="17">
                  <c:v>1976</c:v>
                </c:pt>
                <c:pt idx="18">
                  <c:v>1977</c:v>
                </c:pt>
                <c:pt idx="19">
                  <c:v>1978</c:v>
                </c:pt>
                <c:pt idx="20">
                  <c:v>1979</c:v>
                </c:pt>
                <c:pt idx="21">
                  <c:v>1980</c:v>
                </c:pt>
                <c:pt idx="22">
                  <c:v>1981</c:v>
                </c:pt>
                <c:pt idx="23">
                  <c:v>1982</c:v>
                </c:pt>
                <c:pt idx="24">
                  <c:v>1983</c:v>
                </c:pt>
                <c:pt idx="25">
                  <c:v>1984</c:v>
                </c:pt>
                <c:pt idx="26">
                  <c:v>1985</c:v>
                </c:pt>
                <c:pt idx="27">
                  <c:v>1986</c:v>
                </c:pt>
                <c:pt idx="28">
                  <c:v>1987</c:v>
                </c:pt>
                <c:pt idx="29">
                  <c:v>1988</c:v>
                </c:pt>
                <c:pt idx="30">
                  <c:v>1989</c:v>
                </c:pt>
                <c:pt idx="31">
                  <c:v>1990</c:v>
                </c:pt>
                <c:pt idx="32">
                  <c:v>1991</c:v>
                </c:pt>
                <c:pt idx="33">
                  <c:v>1992</c:v>
                </c:pt>
                <c:pt idx="34">
                  <c:v>1993</c:v>
                </c:pt>
                <c:pt idx="35">
                  <c:v>1994</c:v>
                </c:pt>
                <c:pt idx="36">
                  <c:v>1995</c:v>
                </c:pt>
                <c:pt idx="37">
                  <c:v>1996</c:v>
                </c:pt>
                <c:pt idx="38">
                  <c:v>1997</c:v>
                </c:pt>
                <c:pt idx="39">
                  <c:v>1998</c:v>
                </c:pt>
                <c:pt idx="40">
                  <c:v>1999</c:v>
                </c:pt>
                <c:pt idx="41">
                  <c:v>2000</c:v>
                </c:pt>
                <c:pt idx="42">
                  <c:v>2001</c:v>
                </c:pt>
                <c:pt idx="43">
                  <c:v>2002</c:v>
                </c:pt>
                <c:pt idx="44">
                  <c:v>2003</c:v>
                </c:pt>
                <c:pt idx="45">
                  <c:v>2004</c:v>
                </c:pt>
                <c:pt idx="46">
                  <c:v>2005</c:v>
                </c:pt>
                <c:pt idx="47">
                  <c:v>2006</c:v>
                </c:pt>
                <c:pt idx="48">
                  <c:v>2007</c:v>
                </c:pt>
                <c:pt idx="49">
                  <c:v>2008</c:v>
                </c:pt>
                <c:pt idx="50">
                  <c:v>2009</c:v>
                </c:pt>
                <c:pt idx="51">
                  <c:v>2010</c:v>
                </c:pt>
                <c:pt idx="52">
                  <c:v>2011</c:v>
                </c:pt>
                <c:pt idx="53">
                  <c:v>2012</c:v>
                </c:pt>
                <c:pt idx="54">
                  <c:v>2013</c:v>
                </c:pt>
                <c:pt idx="55">
                  <c:v>2014</c:v>
                </c:pt>
                <c:pt idx="56">
                  <c:v>2015</c:v>
                </c:pt>
                <c:pt idx="57">
                  <c:v>2016</c:v>
                </c:pt>
              </c:numCache>
            </c:numRef>
          </c:xVal>
          <c:yVal>
            <c:numRef>
              <c:f>data_factomineR!$AQ$2:$AQ$59</c:f>
              <c:numCache>
                <c:formatCode>0</c:formatCode>
                <c:ptCount val="58"/>
                <c:pt idx="0">
                  <c:v>78496.258406744368</c:v>
                </c:pt>
                <c:pt idx="1">
                  <c:v>91359.067547724</c:v>
                </c:pt>
                <c:pt idx="2">
                  <c:v>94740.762855360488</c:v>
                </c:pt>
                <c:pt idx="3">
                  <c:v>111465.27350427353</c:v>
                </c:pt>
                <c:pt idx="4">
                  <c:v>117446.34762758849</c:v>
                </c:pt>
                <c:pt idx="5">
                  <c:v>123926.12470402523</c:v>
                </c:pt>
                <c:pt idx="6">
                  <c:v>134851.55709342554</c:v>
                </c:pt>
                <c:pt idx="7">
                  <c:v>143711.68918414559</c:v>
                </c:pt>
                <c:pt idx="8">
                  <c:v>157973.80228687229</c:v>
                </c:pt>
                <c:pt idx="9">
                  <c:v>169939.52046300133</c:v>
                </c:pt>
                <c:pt idx="10">
                  <c:v>176458.98095728265</c:v>
                </c:pt>
                <c:pt idx="11">
                  <c:v>200192.86326880669</c:v>
                </c:pt>
                <c:pt idx="12">
                  <c:v>211610.24526004525</c:v>
                </c:pt>
                <c:pt idx="13">
                  <c:v>226015.91083360719</c:v>
                </c:pt>
                <c:pt idx="14">
                  <c:v>241898.49382211771</c:v>
                </c:pt>
                <c:pt idx="15">
                  <c:v>257974.07490068296</c:v>
                </c:pt>
                <c:pt idx="16">
                  <c:v>266910.6855886468</c:v>
                </c:pt>
                <c:pt idx="17">
                  <c:v>264182.85203821183</c:v>
                </c:pt>
                <c:pt idx="18">
                  <c:v>273035.99799899955</c:v>
                </c:pt>
                <c:pt idx="19">
                  <c:v>298065.32903819619</c:v>
                </c:pt>
                <c:pt idx="20">
                  <c:v>293395.33436583885</c:v>
                </c:pt>
                <c:pt idx="21">
                  <c:v>298834.76346558396</c:v>
                </c:pt>
                <c:pt idx="22">
                  <c:v>307030.8134403858</c:v>
                </c:pt>
                <c:pt idx="23">
                  <c:v>306960.86604925193</c:v>
                </c:pt>
                <c:pt idx="24">
                  <c:v>306020.31598741689</c:v>
                </c:pt>
                <c:pt idx="25">
                  <c:v>300218.6009771988</c:v>
                </c:pt>
                <c:pt idx="26">
                  <c:v>301198.23326432018</c:v>
                </c:pt>
                <c:pt idx="27">
                  <c:v>302952.51549316797</c:v>
                </c:pt>
                <c:pt idx="28">
                  <c:v>298045.32208255411</c:v>
                </c:pt>
                <c:pt idx="29">
                  <c:v>309427.87982323638</c:v>
                </c:pt>
                <c:pt idx="30">
                  <c:v>321619.71582024603</c:v>
                </c:pt>
                <c:pt idx="31">
                  <c:v>341545.72478422371</c:v>
                </c:pt>
                <c:pt idx="32">
                  <c:v>354358.56106222019</c:v>
                </c:pt>
                <c:pt idx="33">
                  <c:v>371026.01725954533</c:v>
                </c:pt>
                <c:pt idx="34">
                  <c:v>381345.52835481503</c:v>
                </c:pt>
                <c:pt idx="35">
                  <c:v>377328.34753648745</c:v>
                </c:pt>
                <c:pt idx="36">
                  <c:v>389905.372352042</c:v>
                </c:pt>
                <c:pt idx="37">
                  <c:v>392137.00553159462</c:v>
                </c:pt>
                <c:pt idx="38">
                  <c:v>404270.06888211798</c:v>
                </c:pt>
                <c:pt idx="39">
                  <c:v>410726.69206739863</c:v>
                </c:pt>
                <c:pt idx="40">
                  <c:v>413476.09895337769</c:v>
                </c:pt>
                <c:pt idx="41">
                  <c:v>427891.22052188491</c:v>
                </c:pt>
                <c:pt idx="42">
                  <c:v>451667.55356776092</c:v>
                </c:pt>
                <c:pt idx="43">
                  <c:v>470021.84546593938</c:v>
                </c:pt>
                <c:pt idx="44">
                  <c:v>474631.37690496282</c:v>
                </c:pt>
                <c:pt idx="45">
                  <c:v>487809.43143739941</c:v>
                </c:pt>
                <c:pt idx="46">
                  <c:v>488219.88908360404</c:v>
                </c:pt>
                <c:pt idx="47">
                  <c:v>504592.11531418387</c:v>
                </c:pt>
                <c:pt idx="48">
                  <c:v>526764.12418668973</c:v>
                </c:pt>
                <c:pt idx="49">
                  <c:v>534868.79572593328</c:v>
                </c:pt>
                <c:pt idx="50">
                  <c:v>559886.55873722571</c:v>
                </c:pt>
                <c:pt idx="51">
                  <c:v>562347.27799999993</c:v>
                </c:pt>
                <c:pt idx="52">
                  <c:v>556785.74894172861</c:v>
                </c:pt>
                <c:pt idx="53">
                  <c:v>549452.40968523</c:v>
                </c:pt>
                <c:pt idx="54">
                  <c:v>545200.63607232552</c:v>
                </c:pt>
                <c:pt idx="55">
                  <c:v>555486.99321401818</c:v>
                </c:pt>
                <c:pt idx="56">
                  <c:v>556602.31891560263</c:v>
                </c:pt>
                <c:pt idx="57">
                  <c:v>565002.76125987864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668800"/>
        <c:axId val="212671104"/>
      </c:scatterChart>
      <c:valAx>
        <c:axId val="212668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12671104"/>
        <c:crosses val="autoZero"/>
        <c:crossBetween val="midCat"/>
      </c:valAx>
      <c:valAx>
        <c:axId val="21267110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2126688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7026084192875468"/>
          <c:y val="1.8351125996863699E-2"/>
          <c:w val="0.14813272547700315"/>
          <c:h val="3.7776901564698331E-2"/>
        </c:manualLayout>
      </c:layout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0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544" cy="6051176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C0C0C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59"/>
  <sheetViews>
    <sheetView tabSelected="1" workbookViewId="0">
      <pane xSplit="1" ySplit="1" topLeftCell="BE28" activePane="bottomRight" state="frozen"/>
      <selection pane="topRight" activeCell="B1" sqref="B1"/>
      <selection pane="bottomLeft" activeCell="A2" sqref="A2"/>
      <selection pane="bottomRight" activeCell="BH59" sqref="BH59"/>
    </sheetView>
  </sheetViews>
  <sheetFormatPr baseColWidth="10" defaultRowHeight="12.75" x14ac:dyDescent="0.2"/>
  <cols>
    <col min="1" max="3" width="6.375" style="5" bestFit="1" customWidth="1"/>
    <col min="4" max="4" width="9.375" style="5" bestFit="1" customWidth="1"/>
    <col min="5" max="5" width="9.75" style="5" bestFit="1" customWidth="1"/>
    <col min="6" max="6" width="8.875" style="5" bestFit="1" customWidth="1"/>
    <col min="7" max="7" width="6.625" style="5" bestFit="1" customWidth="1"/>
    <col min="8" max="8" width="9.875" style="5" bestFit="1" customWidth="1"/>
    <col min="9" max="9" width="9.75" style="5" bestFit="1" customWidth="1"/>
    <col min="10" max="10" width="7.25" style="5" bestFit="1" customWidth="1"/>
    <col min="11" max="11" width="7.125" style="5" bestFit="1" customWidth="1"/>
    <col min="12" max="12" width="6.375" style="5" bestFit="1" customWidth="1"/>
    <col min="13" max="13" width="7.375" style="5" bestFit="1" customWidth="1"/>
    <col min="14" max="14" width="7.125" style="5" bestFit="1" customWidth="1"/>
    <col min="15" max="18" width="11" style="5"/>
    <col min="19" max="19" width="9.75" style="5" customWidth="1"/>
    <col min="20" max="24" width="11" style="5"/>
    <col min="25" max="25" width="12.875" style="5" customWidth="1"/>
    <col min="26" max="29" width="11" style="5"/>
    <col min="30" max="30" width="12.625" style="5" customWidth="1"/>
    <col min="31" max="43" width="11" style="5"/>
    <col min="44" max="44" width="7.875" style="5" bestFit="1" customWidth="1"/>
    <col min="45" max="45" width="7.5" style="5" bestFit="1" customWidth="1"/>
    <col min="46" max="46" width="7.375" style="5" bestFit="1" customWidth="1"/>
    <col min="47" max="48" width="11.5" style="5" customWidth="1"/>
    <col min="49" max="49" width="10.875" style="5" bestFit="1" customWidth="1"/>
    <col min="50" max="50" width="8.625" style="5" bestFit="1" customWidth="1"/>
    <col min="51" max="51" width="11.875" style="5" customWidth="1"/>
    <col min="52" max="52" width="12.875" style="5" customWidth="1"/>
    <col min="53" max="53" width="9.25" style="5" bestFit="1" customWidth="1"/>
    <col min="54" max="54" width="9.125" style="5" bestFit="1" customWidth="1"/>
    <col min="55" max="55" width="8.125" style="5" bestFit="1" customWidth="1"/>
    <col min="56" max="56" width="9.375" style="5" bestFit="1" customWidth="1"/>
    <col min="57" max="57" width="9.125" style="5" bestFit="1" customWidth="1"/>
    <col min="58" max="58" width="7.875" style="5" bestFit="1" customWidth="1"/>
    <col min="59" max="59" width="11" style="5"/>
    <col min="60" max="60" width="13" style="5" customWidth="1"/>
    <col min="61" max="16384" width="11" style="5"/>
  </cols>
  <sheetData>
    <row r="1" spans="1:74" s="3" customFormat="1" ht="51" x14ac:dyDescent="0.2">
      <c r="A1" s="3" t="s">
        <v>125</v>
      </c>
      <c r="B1" s="3" t="s">
        <v>126</v>
      </c>
      <c r="C1" s="3" t="s">
        <v>127</v>
      </c>
      <c r="D1" s="3" t="s">
        <v>128</v>
      </c>
      <c r="E1" s="3" t="s">
        <v>130</v>
      </c>
      <c r="F1" s="3" t="s">
        <v>129</v>
      </c>
      <c r="G1" s="3" t="s">
        <v>131</v>
      </c>
      <c r="H1" s="3" t="s">
        <v>132</v>
      </c>
      <c r="I1" s="3" t="s">
        <v>133</v>
      </c>
      <c r="J1" s="3" t="s">
        <v>134</v>
      </c>
      <c r="K1" s="3" t="s">
        <v>135</v>
      </c>
      <c r="L1" s="3" t="s">
        <v>136</v>
      </c>
      <c r="M1" s="3" t="s">
        <v>137</v>
      </c>
      <c r="N1" s="3" t="s">
        <v>138</v>
      </c>
      <c r="O1" s="3" t="s">
        <v>110</v>
      </c>
      <c r="P1" s="3" t="s">
        <v>111</v>
      </c>
      <c r="Q1" s="3" t="s">
        <v>112</v>
      </c>
      <c r="R1" s="3" t="s">
        <v>113</v>
      </c>
      <c r="S1" s="3" t="s">
        <v>114</v>
      </c>
      <c r="T1" s="3" t="s">
        <v>108</v>
      </c>
      <c r="U1" s="3" t="s">
        <v>116</v>
      </c>
      <c r="V1" s="3" t="s">
        <v>77</v>
      </c>
      <c r="W1" s="3" t="s">
        <v>115</v>
      </c>
      <c r="X1" s="3" t="s">
        <v>88</v>
      </c>
      <c r="Y1" s="3" t="s">
        <v>95</v>
      </c>
      <c r="Z1" s="3" t="s">
        <v>96</v>
      </c>
      <c r="AA1" s="3" t="s">
        <v>97</v>
      </c>
      <c r="AB1" s="3" t="s">
        <v>117</v>
      </c>
      <c r="AC1" s="3" t="s">
        <v>99</v>
      </c>
      <c r="AD1" s="3" t="s">
        <v>118</v>
      </c>
      <c r="AE1" s="3" t="s">
        <v>119</v>
      </c>
      <c r="AF1" s="3" t="s">
        <v>120</v>
      </c>
      <c r="AG1" s="3" t="s">
        <v>122</v>
      </c>
      <c r="AH1" s="3" t="s">
        <v>121</v>
      </c>
      <c r="AI1" s="3" t="s">
        <v>123</v>
      </c>
      <c r="AJ1" s="3" t="s">
        <v>124</v>
      </c>
      <c r="AK1" s="3" t="s">
        <v>139</v>
      </c>
      <c r="AL1" s="3" t="s">
        <v>140</v>
      </c>
      <c r="AM1" s="3" t="str">
        <f>CONCATENATE(AD1," 2010")</f>
        <v>Depenses de consommation 2010</v>
      </c>
      <c r="AN1" s="3" t="str">
        <f t="shared" ref="AN1:AQ1" si="0">CONCATENATE(AE1," 2010")</f>
        <v>Depenses contraintes 2010</v>
      </c>
      <c r="AO1" s="3" t="str">
        <f t="shared" si="0"/>
        <v>Dépenses non contraintes 2010</v>
      </c>
      <c r="AP1" s="3" t="str">
        <f t="shared" si="0"/>
        <v>Revenu disponible 2010</v>
      </c>
      <c r="AQ1" s="3" t="str">
        <f t="shared" si="0"/>
        <v>Revenu libéré 2010</v>
      </c>
      <c r="AR1" s="3" t="s">
        <v>141</v>
      </c>
      <c r="AS1" s="3" t="s">
        <v>142</v>
      </c>
      <c r="AT1" s="3" t="s">
        <v>143</v>
      </c>
      <c r="AU1" s="3" t="s">
        <v>144</v>
      </c>
      <c r="AV1" s="3" t="s">
        <v>145</v>
      </c>
      <c r="AW1" s="3" t="s">
        <v>146</v>
      </c>
      <c r="AX1" s="3" t="s">
        <v>147</v>
      </c>
      <c r="AY1" s="3" t="s">
        <v>148</v>
      </c>
      <c r="AZ1" s="3" t="s">
        <v>149</v>
      </c>
      <c r="BA1" s="3" t="s">
        <v>150</v>
      </c>
      <c r="BB1" s="3" t="s">
        <v>151</v>
      </c>
      <c r="BC1" s="3" t="s">
        <v>152</v>
      </c>
      <c r="BD1" s="3" t="s">
        <v>153</v>
      </c>
      <c r="BE1" s="3" t="s">
        <v>154</v>
      </c>
      <c r="BF1" s="3" t="s">
        <v>123</v>
      </c>
      <c r="BG1" s="3" t="s">
        <v>155</v>
      </c>
      <c r="BH1" s="3" t="s">
        <v>156</v>
      </c>
      <c r="BI1" s="3" t="s">
        <v>157</v>
      </c>
      <c r="BJ1" s="3" t="s">
        <v>158</v>
      </c>
      <c r="BK1" s="3" t="s">
        <v>159</v>
      </c>
      <c r="BL1" s="3" t="s">
        <v>160</v>
      </c>
      <c r="BM1" s="3" t="s">
        <v>161</v>
      </c>
      <c r="BN1" s="3" t="s">
        <v>162</v>
      </c>
      <c r="BO1" s="3" t="s">
        <v>163</v>
      </c>
      <c r="BP1" s="3" t="s">
        <v>164</v>
      </c>
      <c r="BQ1" s="3" t="s">
        <v>165</v>
      </c>
      <c r="BR1" s="3" t="s">
        <v>166</v>
      </c>
      <c r="BS1" s="3" t="s">
        <v>167</v>
      </c>
      <c r="BT1" s="3" t="s">
        <v>168</v>
      </c>
      <c r="BU1" s="3" t="s">
        <v>169</v>
      </c>
      <c r="BV1" s="3" t="s">
        <v>170</v>
      </c>
    </row>
    <row r="2" spans="1:74" x14ac:dyDescent="0.2">
      <c r="A2" s="4">
        <f>P2/$AD2</f>
        <v>0.25951468626884977</v>
      </c>
      <c r="B2" s="4">
        <f t="shared" ref="B2:B59" si="1">Q2/$AD2</f>
        <v>7.2128112454629523E-2</v>
      </c>
      <c r="C2" s="4">
        <f t="shared" ref="C2:C59" si="2">R2/$AD2</f>
        <v>0.11790956875998952</v>
      </c>
      <c r="D2" s="4">
        <f t="shared" ref="D2:D59" si="3">S2/$AD2</f>
        <v>7.8544417961629545E-2</v>
      </c>
      <c r="E2" s="4">
        <f t="shared" ref="E2:E59" si="4">T2/$AD2</f>
        <v>3.2624686950409217E-2</v>
      </c>
      <c r="F2" s="4">
        <f t="shared" ref="F2:F59" si="5">U2/$AD2</f>
        <v>8.6025785330168761E-2</v>
      </c>
      <c r="G2" s="4">
        <f t="shared" ref="G2:G59" si="6">V2/$AD2</f>
        <v>2.4665434514168416E-2</v>
      </c>
      <c r="H2" s="4">
        <f t="shared" ref="H2:H59" si="7">W2/$AD2</f>
        <v>8.3142647043101287E-2</v>
      </c>
      <c r="I2" s="4">
        <f t="shared" ref="I2:I59" si="8">X2/$AD2</f>
        <v>2.0774657416168196E-2</v>
      </c>
      <c r="J2" s="4">
        <f t="shared" ref="J2:J59" si="9">Y2/$AD2</f>
        <v>6.0233647919773776E-3</v>
      </c>
      <c r="K2" s="4">
        <f t="shared" ref="K2:K59" si="10">Z2/$AD2</f>
        <v>7.1127113836457811E-2</v>
      </c>
      <c r="L2" s="4">
        <f t="shared" ref="L2:L59" si="11">AA2/$AD2</f>
        <v>6.0964069123487881E-3</v>
      </c>
      <c r="M2" s="4">
        <f t="shared" ref="M2:M59" si="12">AB2/$AD2</f>
        <v>6.8535935219782865E-2</v>
      </c>
      <c r="N2" s="4">
        <f t="shared" ref="N2:N59" si="13">AC2/$AD2</f>
        <v>7.2887182540318909E-2</v>
      </c>
      <c r="O2" s="5">
        <v>1959</v>
      </c>
      <c r="P2" s="6">
        <v>6214.1019999999999</v>
      </c>
      <c r="Q2" s="6">
        <v>1727.114</v>
      </c>
      <c r="R2" s="6">
        <v>2823.355</v>
      </c>
      <c r="S2" s="6">
        <v>1880.7529999999999</v>
      </c>
      <c r="T2" s="6">
        <v>781.20100000000025</v>
      </c>
      <c r="U2" s="6">
        <v>2059.895</v>
      </c>
      <c r="V2" s="6">
        <v>590.61599999999999</v>
      </c>
      <c r="W2" s="6">
        <v>1990.8579999999999</v>
      </c>
      <c r="X2" s="6">
        <v>497.45100000000002</v>
      </c>
      <c r="Y2" s="6">
        <v>144.22999999999999</v>
      </c>
      <c r="Z2" s="6">
        <v>1703.145</v>
      </c>
      <c r="AA2" s="6">
        <v>145.97900000000001</v>
      </c>
      <c r="AB2" s="6">
        <v>1641.0989999999999</v>
      </c>
      <c r="AC2" s="6">
        <v>1745.29</v>
      </c>
      <c r="AD2" s="6">
        <v>23945.088</v>
      </c>
      <c r="AE2" s="6">
        <v>3542.038</v>
      </c>
      <c r="AF2" s="6">
        <f>AD2-AE2</f>
        <v>20403.05</v>
      </c>
      <c r="AG2" s="6">
        <v>28689.9</v>
      </c>
      <c r="AH2" s="6">
        <f>AG2-AF2</f>
        <v>8286.8500000000022</v>
      </c>
      <c r="AI2" s="7">
        <v>0.10557</v>
      </c>
      <c r="AJ2" s="8">
        <f>AJ3*0.982</f>
        <v>44861.910422999994</v>
      </c>
      <c r="AK2" s="4">
        <f>AE2/$AD2</f>
        <v>0.14792336532653377</v>
      </c>
      <c r="AL2" s="4">
        <f>AF2/$AD2</f>
        <v>0.85207663467346617</v>
      </c>
      <c r="AM2" s="6">
        <f>AD2/$AI2</f>
        <v>226817.16396703609</v>
      </c>
      <c r="AN2" s="6">
        <f t="shared" ref="AN2:AQ17" si="14">AE2/$AI2</f>
        <v>33551.558207824193</v>
      </c>
      <c r="AO2" s="6">
        <f t="shared" si="14"/>
        <v>193265.6057592119</v>
      </c>
      <c r="AP2" s="6">
        <f t="shared" si="14"/>
        <v>271761.86416595627</v>
      </c>
      <c r="AQ2" s="6">
        <f t="shared" si="14"/>
        <v>78496.258406744368</v>
      </c>
      <c r="AR2" s="7">
        <v>0.12539</v>
      </c>
      <c r="AS2" s="7">
        <v>7.868E-2</v>
      </c>
      <c r="AT2" s="7">
        <v>0.13608000000000001</v>
      </c>
      <c r="AU2" s="7">
        <v>5.7519999999999995E-2</v>
      </c>
      <c r="AV2" s="7">
        <v>0.16847000000000001</v>
      </c>
      <c r="AW2" s="7">
        <v>0.17648</v>
      </c>
      <c r="AX2" s="7">
        <v>9.6869999999999998E-2</v>
      </c>
      <c r="AY2" s="7">
        <v>0.49826999999999999</v>
      </c>
      <c r="AZ2" s="7">
        <v>0.21536999999999998</v>
      </c>
      <c r="BA2" s="7">
        <v>4.7419999999999997E-2</v>
      </c>
      <c r="BB2" s="7">
        <v>4.7809999999999998E-2</v>
      </c>
      <c r="BC2" s="7">
        <v>7.9490000000000005E-2</v>
      </c>
      <c r="BD2" s="7">
        <v>4.7809999999999998E-2</v>
      </c>
      <c r="BE2" s="7">
        <v>7.9490000000000005E-2</v>
      </c>
      <c r="BF2" s="7">
        <v>0.10557</v>
      </c>
      <c r="BG2" s="7">
        <f>A2*LN(AR2)+B2*LN(AS2)+C2*LN(AT2)+D2*LN(AU2)+E2*LN(AV2)+F2*LN(AW2)+G2*LN(AX2)+H2*LN(AY2)+I2*LN(AZ2)+J2*LN(BA2)+K2*LN(BB2)+L2*LN(BC2)+M2*LN(BD2)+N2*LN(BE2)</f>
        <v>-2.1794012565571426</v>
      </c>
      <c r="BH2" s="7">
        <f>LN(AG2)-BG2</f>
        <v>12.443701679991449</v>
      </c>
      <c r="BI2" s="7">
        <f>LN(AR2/$BF2)</f>
        <v>0.17205464020084307</v>
      </c>
      <c r="BJ2" s="7">
        <f>LN(AS2/$BF2)</f>
        <v>-0.29398524648074514</v>
      </c>
      <c r="BK2" s="7">
        <f>LN(AT2/$BF2)</f>
        <v>0.25386870808600298</v>
      </c>
      <c r="BL2" s="7">
        <f>LN(AU2/$BF2)</f>
        <v>-0.60724152658881225</v>
      </c>
      <c r="BM2" s="7">
        <f>LN(AV2/$BF2)</f>
        <v>0.46738345239650936</v>
      </c>
      <c r="BN2" s="7">
        <f>LN(AW2/$BF2)</f>
        <v>0.51383331550358891</v>
      </c>
      <c r="BO2" s="7">
        <f>LN(AX2/$BF2)</f>
        <v>-8.6004366563309925E-2</v>
      </c>
      <c r="BP2" s="7">
        <f>LN(AY2/$BF2)</f>
        <v>1.5517678587774135</v>
      </c>
      <c r="BQ2" s="7">
        <f>LN(AZ2/$BF2)</f>
        <v>0.71298323925489782</v>
      </c>
      <c r="BR2" s="7">
        <f>LN(BA2/$BF2)</f>
        <v>-0.80033015936434404</v>
      </c>
      <c r="BS2" s="7">
        <f>LN(BB2/$BF2)</f>
        <v>-0.7921394173635915</v>
      </c>
      <c r="BT2" s="7">
        <f>LN(BC2/$BF2)</f>
        <v>-0.28374301241658212</v>
      </c>
      <c r="BU2" s="7">
        <f>LN(BD2/$BF2)</f>
        <v>-0.7921394173635915</v>
      </c>
      <c r="BV2" s="7">
        <f>LN(BE2/$BF2)</f>
        <v>-0.28374301241658212</v>
      </c>
    </row>
    <row r="3" spans="1:74" x14ac:dyDescent="0.2">
      <c r="A3" s="4">
        <f t="shared" ref="A3:A59" si="15">P3/$AD3</f>
        <v>0.25117550728688931</v>
      </c>
      <c r="B3" s="4">
        <f t="shared" si="1"/>
        <v>6.9491577399563548E-2</v>
      </c>
      <c r="C3" s="4">
        <f t="shared" si="2"/>
        <v>0.11966855263551257</v>
      </c>
      <c r="D3" s="4">
        <f t="shared" si="3"/>
        <v>7.6878515580816889E-2</v>
      </c>
      <c r="E3" s="4">
        <f t="shared" si="4"/>
        <v>3.9941204988006462E-2</v>
      </c>
      <c r="F3" s="4">
        <f t="shared" si="5"/>
        <v>8.5676077916258198E-2</v>
      </c>
      <c r="G3" s="4">
        <f t="shared" si="6"/>
        <v>2.4142453314874308E-2</v>
      </c>
      <c r="H3" s="4">
        <f t="shared" si="7"/>
        <v>8.5690447667446518E-2</v>
      </c>
      <c r="I3" s="4">
        <f t="shared" si="8"/>
        <v>2.0312317488749995E-2</v>
      </c>
      <c r="J3" s="4">
        <f t="shared" si="9"/>
        <v>6.0590653020051706E-3</v>
      </c>
      <c r="K3" s="4">
        <f t="shared" si="10"/>
        <v>7.3807819178756034E-2</v>
      </c>
      <c r="L3" s="4">
        <f t="shared" si="11"/>
        <v>6.1417010025386319E-3</v>
      </c>
      <c r="M3" s="4">
        <f t="shared" si="12"/>
        <v>6.6813217582226581E-2</v>
      </c>
      <c r="N3" s="4">
        <f t="shared" si="13"/>
        <v>7.4201542656356007E-2</v>
      </c>
      <c r="O3" s="5">
        <v>1960</v>
      </c>
      <c r="P3" s="6">
        <v>6519.8389999999999</v>
      </c>
      <c r="Q3" s="6">
        <v>1803.8140000000001</v>
      </c>
      <c r="R3" s="6">
        <v>3106.2730000000001</v>
      </c>
      <c r="S3" s="6">
        <v>1995.559</v>
      </c>
      <c r="T3" s="6">
        <v>1036.7659999999998</v>
      </c>
      <c r="U3" s="6">
        <v>2223.92</v>
      </c>
      <c r="V3" s="6">
        <v>626.673</v>
      </c>
      <c r="W3" s="6">
        <v>2224.2929999999997</v>
      </c>
      <c r="X3" s="6">
        <v>527.25300000000004</v>
      </c>
      <c r="Y3" s="6">
        <v>157.27699999999999</v>
      </c>
      <c r="Z3" s="6">
        <v>1915.8520000000001</v>
      </c>
      <c r="AA3" s="6">
        <v>159.422</v>
      </c>
      <c r="AB3" s="6">
        <v>1734.2909999999999</v>
      </c>
      <c r="AC3" s="6">
        <v>1926.0719999999999</v>
      </c>
      <c r="AD3" s="6">
        <v>25957.303999999993</v>
      </c>
      <c r="AE3" s="6">
        <v>4000.0880000000002</v>
      </c>
      <c r="AF3" s="6">
        <f t="shared" ref="AF3:AF59" si="16">AD3-AE3</f>
        <v>21957.215999999993</v>
      </c>
      <c r="AG3" s="6">
        <v>31911.7</v>
      </c>
      <c r="AH3" s="6">
        <f t="shared" ref="AH3:AH59" si="17">AG3-AF3</f>
        <v>9954.4840000000077</v>
      </c>
      <c r="AI3" s="7">
        <v>0.10896</v>
      </c>
      <c r="AJ3" s="6">
        <v>45684.226499999997</v>
      </c>
      <c r="AK3" s="4">
        <f t="shared" ref="AK3:AK59" si="18">AE3/$AD3</f>
        <v>0.1541025986365919</v>
      </c>
      <c r="AL3" s="4">
        <f t="shared" ref="AL3:AL59" si="19">AF3/$AD3</f>
        <v>0.84589740136340807</v>
      </c>
      <c r="AM3" s="6">
        <f t="shared" ref="AM3:AM59" si="20">AD3/$AI3</f>
        <v>238227.82672540375</v>
      </c>
      <c r="AN3" s="6">
        <f t="shared" si="14"/>
        <v>36711.527165932457</v>
      </c>
      <c r="AO3" s="6">
        <f t="shared" si="14"/>
        <v>201516.29955947131</v>
      </c>
      <c r="AP3" s="6">
        <f t="shared" si="14"/>
        <v>292875.36710719531</v>
      </c>
      <c r="AQ3" s="6">
        <f t="shared" si="14"/>
        <v>91359.067547724</v>
      </c>
      <c r="AR3" s="7">
        <v>0.12743000000000002</v>
      </c>
      <c r="AS3" s="7">
        <v>8.0360000000000001E-2</v>
      </c>
      <c r="AT3" s="7">
        <v>0.14193</v>
      </c>
      <c r="AU3" s="7">
        <v>6.1289999999999997E-2</v>
      </c>
      <c r="AV3" s="7">
        <v>0.17082</v>
      </c>
      <c r="AW3" s="7">
        <v>0.18933</v>
      </c>
      <c r="AX3" s="7">
        <v>9.937E-2</v>
      </c>
      <c r="AY3" s="7">
        <v>0.49822000000000005</v>
      </c>
      <c r="AZ3" s="7">
        <v>0.22225</v>
      </c>
      <c r="BA3" s="7">
        <v>4.9880000000000008E-2</v>
      </c>
      <c r="BB3" s="7">
        <v>4.9070000000000003E-2</v>
      </c>
      <c r="BC3" s="7">
        <v>8.3819999999999992E-2</v>
      </c>
      <c r="BD3" s="7">
        <v>4.9070000000000003E-2</v>
      </c>
      <c r="BE3" s="7">
        <v>8.3819999999999992E-2</v>
      </c>
      <c r="BF3" s="7">
        <v>0.10896</v>
      </c>
      <c r="BG3" s="7">
        <f t="shared" ref="BG3:BG59" si="21">A3*LN(AR3)+B3*LN(AS3)+C3*LN(AT3)+D3*LN(AU3)+E3*LN(AV3)+F3*LN(AW3)+G3*LN(AX3)+H3*LN(AY3)+I3*LN(AZ3)+J3*LN(BA3)+K3*LN(BB3)+L3*LN(BC3)+M3*LN(BD3)+N3*LN(BE3)</f>
        <v>-2.141381795307149</v>
      </c>
      <c r="BH3" s="7">
        <f>LN(AG3)-BG3</f>
        <v>12.512109787995859</v>
      </c>
      <c r="BI3" s="7">
        <f>LN(AR3/$BF3)</f>
        <v>0.15658635182298558</v>
      </c>
      <c r="BJ3" s="7">
        <f>LN(AS3/$BF3)</f>
        <v>-0.30446430245446854</v>
      </c>
      <c r="BK3" s="7">
        <f>LN(AT3/$BF3)</f>
        <v>0.26435313590996412</v>
      </c>
      <c r="BL3" s="7">
        <f>LN(AU3/$BF3)</f>
        <v>-0.5753641449035618</v>
      </c>
      <c r="BM3" s="7">
        <f>LN(AV3/$BF3)</f>
        <v>0.44962952811679896</v>
      </c>
      <c r="BN3" s="7">
        <f>LN(AW3/$BF3)</f>
        <v>0.55251068186305552</v>
      </c>
      <c r="BO3" s="7">
        <f>LN(AX3/$BF3)</f>
        <v>-9.2130585157930309E-2</v>
      </c>
      <c r="BP3" s="7">
        <f>LN(AY3/$BF3)</f>
        <v>1.5200609041413813</v>
      </c>
      <c r="BQ3" s="7">
        <f>LN(AZ3/$BF3)</f>
        <v>0.71282203199281169</v>
      </c>
      <c r="BR3" s="7">
        <f>LN(BA3/$BF3)</f>
        <v>-0.78136072158936642</v>
      </c>
      <c r="BS3" s="7">
        <f>LN(BB3/$BF3)</f>
        <v>-0.7977329922993901</v>
      </c>
      <c r="BT3" s="7">
        <f>LN(BC3/$BF3)</f>
        <v>-0.26230919990427687</v>
      </c>
      <c r="BU3" s="7">
        <f>LN(BD3/$BF3)</f>
        <v>-0.7977329922993901</v>
      </c>
      <c r="BV3" s="7">
        <f t="shared" ref="BV3:BV59" si="22">LN(BE3/$BF3)</f>
        <v>-0.26230919990427687</v>
      </c>
    </row>
    <row r="4" spans="1:74" x14ac:dyDescent="0.2">
      <c r="A4" s="4">
        <f t="shared" si="15"/>
        <v>0.2437349155628564</v>
      </c>
      <c r="B4" s="4">
        <f t="shared" si="1"/>
        <v>6.6912975031291719E-2</v>
      </c>
      <c r="C4" s="4">
        <f t="shared" si="2"/>
        <v>0.12093490183257849</v>
      </c>
      <c r="D4" s="4">
        <f t="shared" si="3"/>
        <v>7.3362281689377071E-2</v>
      </c>
      <c r="E4" s="4">
        <f t="shared" si="4"/>
        <v>4.7909832091498523E-2</v>
      </c>
      <c r="F4" s="4">
        <f t="shared" si="5"/>
        <v>8.5167421896760118E-2</v>
      </c>
      <c r="G4" s="4">
        <f t="shared" si="6"/>
        <v>2.4432824456382278E-2</v>
      </c>
      <c r="H4" s="4">
        <f t="shared" si="7"/>
        <v>8.8289858185389647E-2</v>
      </c>
      <c r="I4" s="4">
        <f t="shared" si="8"/>
        <v>2.0283692852269743E-2</v>
      </c>
      <c r="J4" s="4">
        <f t="shared" si="9"/>
        <v>6.0722189285031137E-3</v>
      </c>
      <c r="K4" s="4">
        <f t="shared" si="10"/>
        <v>7.6533643581994784E-2</v>
      </c>
      <c r="L4" s="4">
        <f t="shared" si="11"/>
        <v>6.1747718021806326E-3</v>
      </c>
      <c r="M4" s="4">
        <f t="shared" si="12"/>
        <v>6.5025768839883799E-2</v>
      </c>
      <c r="N4" s="4">
        <f t="shared" si="13"/>
        <v>7.5164893249033776E-2</v>
      </c>
      <c r="O4" s="5">
        <v>1961</v>
      </c>
      <c r="P4" s="6">
        <v>6894.7359999999999</v>
      </c>
      <c r="Q4" s="6">
        <v>1892.8240000000001</v>
      </c>
      <c r="R4" s="6">
        <v>3420.9879999999998</v>
      </c>
      <c r="S4" s="6">
        <v>2075.261</v>
      </c>
      <c r="T4" s="6">
        <v>1355.2660000000001</v>
      </c>
      <c r="U4" s="6">
        <v>2409.203</v>
      </c>
      <c r="V4" s="6">
        <v>691.15200000000004</v>
      </c>
      <c r="W4" s="6">
        <v>2497.5299999999997</v>
      </c>
      <c r="X4" s="6">
        <v>573.78200000000004</v>
      </c>
      <c r="Y4" s="6">
        <v>171.77</v>
      </c>
      <c r="Z4" s="6">
        <v>2164.9720000000002</v>
      </c>
      <c r="AA4" s="6">
        <v>174.67099999999999</v>
      </c>
      <c r="AB4" s="6">
        <v>1839.4390000000001</v>
      </c>
      <c r="AC4" s="6">
        <v>2126.2530000000002</v>
      </c>
      <c r="AD4" s="6">
        <v>28287.846999999998</v>
      </c>
      <c r="AE4" s="6">
        <v>4483.2079999999996</v>
      </c>
      <c r="AF4" s="6">
        <f t="shared" si="16"/>
        <v>23804.638999999999</v>
      </c>
      <c r="AG4" s="6">
        <v>34435.5</v>
      </c>
      <c r="AH4" s="6">
        <f t="shared" si="17"/>
        <v>10630.861000000001</v>
      </c>
      <c r="AI4" s="7">
        <v>0.11221</v>
      </c>
      <c r="AJ4" s="6">
        <v>46162.828000000001</v>
      </c>
      <c r="AK4" s="4">
        <f t="shared" si="18"/>
        <v>0.15848530289350052</v>
      </c>
      <c r="AL4" s="4">
        <f t="shared" si="19"/>
        <v>0.84151469710649951</v>
      </c>
      <c r="AM4" s="6">
        <f t="shared" si="20"/>
        <v>252097.37991266372</v>
      </c>
      <c r="AN4" s="6">
        <f t="shared" si="14"/>
        <v>39953.729614116382</v>
      </c>
      <c r="AO4" s="6">
        <f t="shared" si="14"/>
        <v>212143.65029854735</v>
      </c>
      <c r="AP4" s="6">
        <f t="shared" si="14"/>
        <v>306884.41315390787</v>
      </c>
      <c r="AQ4" s="6">
        <f t="shared" si="14"/>
        <v>94740.762855360488</v>
      </c>
      <c r="AR4" s="7">
        <v>0.1305</v>
      </c>
      <c r="AS4" s="7">
        <v>8.1769999999999995E-2</v>
      </c>
      <c r="AT4" s="7">
        <v>0.14571999999999999</v>
      </c>
      <c r="AU4" s="7">
        <v>6.4939999999999998E-2</v>
      </c>
      <c r="AV4" s="7">
        <v>0.17077999999999999</v>
      </c>
      <c r="AW4" s="7">
        <v>0.19265999999999997</v>
      </c>
      <c r="AX4" s="7">
        <v>0.10160999999999999</v>
      </c>
      <c r="AY4" s="7">
        <v>0.49831999999999999</v>
      </c>
      <c r="AZ4" s="7">
        <v>0.22955999999999999</v>
      </c>
      <c r="BA4" s="7">
        <v>5.2389999999999999E-2</v>
      </c>
      <c r="BB4" s="7">
        <v>5.1449999999999996E-2</v>
      </c>
      <c r="BC4" s="7">
        <v>8.8109999999999994E-2</v>
      </c>
      <c r="BD4" s="7">
        <v>5.1449999999999996E-2</v>
      </c>
      <c r="BE4" s="7">
        <v>8.8109999999999994E-2</v>
      </c>
      <c r="BF4" s="7">
        <v>0.11221</v>
      </c>
      <c r="BG4" s="7">
        <v>-2.1050658596667238</v>
      </c>
      <c r="BH4" s="7">
        <f>LN(AG4)-BG4</f>
        <v>12.551909147650459</v>
      </c>
      <c r="BI4" s="7">
        <f>LN(AR4/$BF4)</f>
        <v>0.15100111108597317</v>
      </c>
      <c r="BJ4" s="7">
        <f>LN(AS4/$BF4)</f>
        <v>-0.31646168750288911</v>
      </c>
      <c r="BK4" s="7">
        <f>LN(AT4/$BF4)</f>
        <v>0.2613148564635881</v>
      </c>
      <c r="BL4" s="7">
        <f>LN(AU4/$BF4)</f>
        <v>-0.54690834900207508</v>
      </c>
      <c r="BM4" s="7">
        <f>LN(AV4/$BF4)</f>
        <v>0.4200040628026851</v>
      </c>
      <c r="BN4" s="7">
        <f>LN(AW4/$BF4)</f>
        <v>0.5405548616527025</v>
      </c>
      <c r="BO4" s="7">
        <f>LN(AX4/$BF4)</f>
        <v>-9.9230160178984991E-2</v>
      </c>
      <c r="BP4" s="7">
        <f>LN(AY4/$BF4)</f>
        <v>1.4908703252691151</v>
      </c>
      <c r="BQ4" s="7">
        <f>LN(AZ4/$BF4)</f>
        <v>0.7157923175633869</v>
      </c>
      <c r="BR4" s="7">
        <f>LN(BA4/$BF4)</f>
        <v>-0.76165638225664656</v>
      </c>
      <c r="BS4" s="7">
        <f>LN(BB4/$BF4)</f>
        <v>-0.77976165339671633</v>
      </c>
      <c r="BT4" s="7">
        <f>LN(BC4/$BF4)</f>
        <v>-0.24178608179813657</v>
      </c>
      <c r="BU4" s="7">
        <f>LN(BD4/$BF4)</f>
        <v>-0.77976165339671633</v>
      </c>
      <c r="BV4" s="7">
        <f t="shared" si="22"/>
        <v>-0.24178608179813657</v>
      </c>
    </row>
    <row r="5" spans="1:74" x14ac:dyDescent="0.2">
      <c r="A5" s="4">
        <f t="shared" si="15"/>
        <v>0.24059861233116084</v>
      </c>
      <c r="B5" s="4">
        <f t="shared" si="1"/>
        <v>6.4802639417798916E-2</v>
      </c>
      <c r="C5" s="4">
        <f t="shared" si="2"/>
        <v>0.12264070891169154</v>
      </c>
      <c r="D5" s="4">
        <f t="shared" si="3"/>
        <v>7.3583561663180211E-2</v>
      </c>
      <c r="E5" s="4">
        <f t="shared" si="4"/>
        <v>5.3451532774027651E-2</v>
      </c>
      <c r="F5" s="4">
        <f t="shared" si="5"/>
        <v>8.3843243023105252E-2</v>
      </c>
      <c r="G5" s="4">
        <f t="shared" si="6"/>
        <v>2.3806719914141003E-2</v>
      </c>
      <c r="H5" s="4">
        <f t="shared" si="7"/>
        <v>9.0227789361508173E-2</v>
      </c>
      <c r="I5" s="4">
        <f t="shared" si="8"/>
        <v>1.9435628635116022E-2</v>
      </c>
      <c r="J5" s="4">
        <f t="shared" si="9"/>
        <v>5.9484490444819864E-3</v>
      </c>
      <c r="K5" s="4">
        <f t="shared" si="10"/>
        <v>7.8141889510755264E-2</v>
      </c>
      <c r="L5" s="4">
        <f t="shared" si="11"/>
        <v>6.1466865494670822E-3</v>
      </c>
      <c r="M5" s="4">
        <f t="shared" si="12"/>
        <v>6.2312582183929856E-2</v>
      </c>
      <c r="N5" s="4">
        <f t="shared" si="13"/>
        <v>7.5059956679636206E-2</v>
      </c>
      <c r="O5" s="5">
        <v>1962</v>
      </c>
      <c r="P5" s="6">
        <v>7632.8879999999999</v>
      </c>
      <c r="Q5" s="6">
        <v>2055.8359999999998</v>
      </c>
      <c r="R5" s="6">
        <v>3890.7240000000002</v>
      </c>
      <c r="S5" s="6">
        <v>2334.4070000000002</v>
      </c>
      <c r="T5" s="6">
        <v>1695.7269999999999</v>
      </c>
      <c r="U5" s="6">
        <v>2659.8910000000001</v>
      </c>
      <c r="V5" s="6">
        <v>755.25800000000004</v>
      </c>
      <c r="W5" s="6">
        <v>2862.4380000000001</v>
      </c>
      <c r="X5" s="6">
        <v>616.58699999999999</v>
      </c>
      <c r="Y5" s="6">
        <v>188.71199999999999</v>
      </c>
      <c r="Z5" s="6">
        <v>2479.018</v>
      </c>
      <c r="AA5" s="6">
        <v>195.001</v>
      </c>
      <c r="AB5" s="6">
        <v>1976.84</v>
      </c>
      <c r="AC5" s="6">
        <v>2381.2449999999999</v>
      </c>
      <c r="AD5" s="6">
        <v>31724.572</v>
      </c>
      <c r="AE5" s="6">
        <v>5188.2089999999998</v>
      </c>
      <c r="AF5" s="6">
        <f t="shared" si="16"/>
        <v>26536.363000000001</v>
      </c>
      <c r="AG5" s="6">
        <v>39577.800000000003</v>
      </c>
      <c r="AH5" s="6">
        <f t="shared" si="17"/>
        <v>13041.437000000002</v>
      </c>
      <c r="AI5" s="7">
        <v>0.11699999999999999</v>
      </c>
      <c r="AJ5" s="6">
        <v>46997.703000000001</v>
      </c>
      <c r="AK5" s="4">
        <f t="shared" si="18"/>
        <v>0.1635391330102105</v>
      </c>
      <c r="AL5" s="4">
        <f t="shared" si="19"/>
        <v>0.8364608669897895</v>
      </c>
      <c r="AM5" s="6">
        <f t="shared" si="20"/>
        <v>271150.18803418806</v>
      </c>
      <c r="AN5" s="6">
        <f t="shared" si="14"/>
        <v>44343.666666666672</v>
      </c>
      <c r="AO5" s="6">
        <f t="shared" si="14"/>
        <v>226806.5213675214</v>
      </c>
      <c r="AP5" s="6">
        <f t="shared" si="14"/>
        <v>338271.79487179493</v>
      </c>
      <c r="AQ5" s="6">
        <f t="shared" si="14"/>
        <v>111465.27350427353</v>
      </c>
      <c r="AR5" s="7">
        <v>0.13814000000000001</v>
      </c>
      <c r="AS5" s="7">
        <v>8.5630000000000012E-2</v>
      </c>
      <c r="AT5" s="7">
        <v>0.14951999999999999</v>
      </c>
      <c r="AU5" s="7">
        <v>6.9180000000000005E-2</v>
      </c>
      <c r="AV5" s="7">
        <v>0.17310999999999999</v>
      </c>
      <c r="AW5" s="7">
        <v>0.20219000000000001</v>
      </c>
      <c r="AX5" s="7">
        <v>0.1032</v>
      </c>
      <c r="AY5" s="7">
        <v>0.49972</v>
      </c>
      <c r="AZ5" s="7">
        <v>0.23662</v>
      </c>
      <c r="BA5" s="7">
        <v>5.5190000000000003E-2</v>
      </c>
      <c r="BB5" s="7">
        <v>5.4440000000000002E-2</v>
      </c>
      <c r="BC5" s="7">
        <v>9.2829999999999996E-2</v>
      </c>
      <c r="BD5" s="7">
        <v>5.4440000000000002E-2</v>
      </c>
      <c r="BE5" s="7">
        <v>9.2829999999999996E-2</v>
      </c>
      <c r="BF5" s="7">
        <v>0.11699999999999999</v>
      </c>
      <c r="BG5" s="7">
        <v>-2.0566485359030331</v>
      </c>
      <c r="BH5" s="7">
        <f>LN(AG5)-BG5</f>
        <v>12.642672169886668</v>
      </c>
      <c r="BI5" s="7">
        <f>LN(AR5/$BF5)</f>
        <v>0.16609372886307083</v>
      </c>
      <c r="BJ5" s="7">
        <f>LN(AS5/$BF5)</f>
        <v>-0.31213824575965526</v>
      </c>
      <c r="BK5" s="7">
        <f>LN(AT5/$BF5)</f>
        <v>0.24525622834955124</v>
      </c>
      <c r="BL5" s="7">
        <f>LN(AU5/$BF5)</f>
        <v>-0.52546213128873331</v>
      </c>
      <c r="BM5" s="7">
        <f>LN(AV5/$BF5)</f>
        <v>0.39175329579088203</v>
      </c>
      <c r="BN5" s="7">
        <f>LN(AW5/$BF5)</f>
        <v>0.54703391458145345</v>
      </c>
      <c r="BO5" s="7">
        <f>LN(AX5/$BF5)</f>
        <v>-0.12550508175029365</v>
      </c>
      <c r="BP5" s="7">
        <f>LN(AY5/$BF5)</f>
        <v>1.4518740067658724</v>
      </c>
      <c r="BQ5" s="7">
        <f>LN(AZ5/$BF5)</f>
        <v>0.70428154402776066</v>
      </c>
      <c r="BR5" s="7">
        <f>LN(BA5/$BF5)</f>
        <v>-0.75139215734634601</v>
      </c>
      <c r="BS5" s="7">
        <f>LN(BB5/$BF5)</f>
        <v>-0.76507475701449068</v>
      </c>
      <c r="BT5" s="7">
        <f>LN(BC5/$BF5)</f>
        <v>-0.2314040713859149</v>
      </c>
      <c r="BU5" s="7">
        <f>LN(BD5/$BF5)</f>
        <v>-0.76507475701449068</v>
      </c>
      <c r="BV5" s="7">
        <f t="shared" si="22"/>
        <v>-0.2314040713859149</v>
      </c>
    </row>
    <row r="6" spans="1:74" x14ac:dyDescent="0.2">
      <c r="A6" s="4">
        <f t="shared" si="15"/>
        <v>0.23493364869606262</v>
      </c>
      <c r="B6" s="4">
        <f t="shared" si="1"/>
        <v>6.1721129661390629E-2</v>
      </c>
      <c r="C6" s="4">
        <f t="shared" si="2"/>
        <v>0.12337417633059156</v>
      </c>
      <c r="D6" s="4">
        <f t="shared" si="3"/>
        <v>7.4865700919992034E-2</v>
      </c>
      <c r="E6" s="4">
        <f t="shared" si="4"/>
        <v>5.8017772482620182E-2</v>
      </c>
      <c r="F6" s="4">
        <f t="shared" si="5"/>
        <v>8.4522338862266427E-2</v>
      </c>
      <c r="G6" s="4">
        <f t="shared" si="6"/>
        <v>2.3155928015743402E-2</v>
      </c>
      <c r="H6" s="4">
        <f t="shared" si="7"/>
        <v>9.127674719410489E-2</v>
      </c>
      <c r="I6" s="4">
        <f t="shared" si="8"/>
        <v>1.8407746944932874E-2</v>
      </c>
      <c r="J6" s="4">
        <f t="shared" si="9"/>
        <v>5.7357895471737887E-3</v>
      </c>
      <c r="K6" s="4">
        <f t="shared" si="10"/>
        <v>7.8996637169531037E-2</v>
      </c>
      <c r="L6" s="4">
        <f t="shared" si="11"/>
        <v>6.1155401064E-3</v>
      </c>
      <c r="M6" s="4">
        <f t="shared" si="12"/>
        <v>6.0635796808055892E-2</v>
      </c>
      <c r="N6" s="4">
        <f t="shared" si="13"/>
        <v>7.824104726113465E-2</v>
      </c>
      <c r="O6" s="5">
        <v>1963</v>
      </c>
      <c r="P6" s="6">
        <v>8409.3439999999991</v>
      </c>
      <c r="Q6" s="6">
        <v>2209.2800000000002</v>
      </c>
      <c r="R6" s="6">
        <v>4416.1229999999996</v>
      </c>
      <c r="S6" s="6">
        <v>2679.7840000000001</v>
      </c>
      <c r="T6" s="6">
        <v>2076.7199999999998</v>
      </c>
      <c r="U6" s="6">
        <v>3025.4389999999999</v>
      </c>
      <c r="V6" s="6">
        <v>828.85599999999999</v>
      </c>
      <c r="W6" s="6">
        <v>3267.21</v>
      </c>
      <c r="X6" s="6">
        <v>658.89700000000005</v>
      </c>
      <c r="Y6" s="6">
        <v>205.31</v>
      </c>
      <c r="Z6" s="6">
        <v>2827.6489999999999</v>
      </c>
      <c r="AA6" s="6">
        <v>218.90299999999999</v>
      </c>
      <c r="AB6" s="6">
        <v>2170.431</v>
      </c>
      <c r="AC6" s="6">
        <v>2800.6030000000001</v>
      </c>
      <c r="AD6" s="6">
        <v>35794.548999999999</v>
      </c>
      <c r="AE6" s="6">
        <v>6109.6180000000004</v>
      </c>
      <c r="AF6" s="6">
        <f t="shared" si="16"/>
        <v>29684.930999999997</v>
      </c>
      <c r="AG6" s="6">
        <v>44090.9</v>
      </c>
      <c r="AH6" s="6">
        <f t="shared" si="17"/>
        <v>14405.969000000005</v>
      </c>
      <c r="AI6" s="7">
        <v>0.12266000000000001</v>
      </c>
      <c r="AJ6" s="6">
        <v>47816.217499999999</v>
      </c>
      <c r="AK6" s="4">
        <f t="shared" si="18"/>
        <v>0.17068570971518598</v>
      </c>
      <c r="AL6" s="4">
        <f t="shared" si="19"/>
        <v>0.82931429028481396</v>
      </c>
      <c r="AM6" s="6">
        <f t="shared" si="20"/>
        <v>291819.24832871353</v>
      </c>
      <c r="AN6" s="6">
        <f t="shared" si="14"/>
        <v>49809.375509538564</v>
      </c>
      <c r="AO6" s="6">
        <f t="shared" si="14"/>
        <v>242009.87281917493</v>
      </c>
      <c r="AP6" s="6">
        <f t="shared" si="14"/>
        <v>359456.22044676339</v>
      </c>
      <c r="AQ6" s="6">
        <f t="shared" si="14"/>
        <v>117446.34762758849</v>
      </c>
      <c r="AR6" s="7">
        <v>0.14555999999999999</v>
      </c>
      <c r="AS6" s="7">
        <v>8.9039999999999994E-2</v>
      </c>
      <c r="AT6" s="7">
        <v>0.15362000000000001</v>
      </c>
      <c r="AU6" s="7">
        <v>7.4469999999999995E-2</v>
      </c>
      <c r="AV6" s="7">
        <v>0.17672000000000002</v>
      </c>
      <c r="AW6" s="7">
        <v>0.21370999999999998</v>
      </c>
      <c r="AX6" s="7">
        <v>0.10590999999999999</v>
      </c>
      <c r="AY6" s="7">
        <v>0.49976999999999999</v>
      </c>
      <c r="AZ6" s="7">
        <v>0.24585000000000001</v>
      </c>
      <c r="BA6" s="7">
        <v>5.8970000000000002E-2</v>
      </c>
      <c r="BB6" s="7">
        <v>5.8860000000000003E-2</v>
      </c>
      <c r="BC6" s="7">
        <v>9.9700000000000011E-2</v>
      </c>
      <c r="BD6" s="7">
        <v>5.8860000000000003E-2</v>
      </c>
      <c r="BE6" s="7">
        <v>9.9700000000000011E-2</v>
      </c>
      <c r="BF6" s="7">
        <v>0.12266000000000001</v>
      </c>
      <c r="BG6" s="7">
        <v>-2.0059670188064547</v>
      </c>
      <c r="BH6" s="7">
        <f>LN(AG6)-BG6</f>
        <v>12.699975709742116</v>
      </c>
      <c r="BI6" s="7">
        <f>LN(AR6/$BF6)</f>
        <v>0.17117207254612141</v>
      </c>
      <c r="BJ6" s="7">
        <f>LN(AS6/$BF6)</f>
        <v>-0.32033059323054841</v>
      </c>
      <c r="BK6" s="7">
        <f>LN(AT6/$BF6)</f>
        <v>0.22506572037269826</v>
      </c>
      <c r="BL6" s="7">
        <f>LN(AU6/$BF6)</f>
        <v>-0.49901994047528359</v>
      </c>
      <c r="BM6" s="7">
        <f>LN(AV6/$BF6)</f>
        <v>0.36515025891402408</v>
      </c>
      <c r="BN6" s="7">
        <f>LN(AW6/$BF6)</f>
        <v>0.55520365560426199</v>
      </c>
      <c r="BO6" s="7">
        <f>LN(AX6/$BF6)</f>
        <v>-0.14682662334226002</v>
      </c>
      <c r="BP6" s="7">
        <f>LN(AY6/$BF6)</f>
        <v>1.4047316923918975</v>
      </c>
      <c r="BQ6" s="7">
        <f>LN(AZ6/$BF6)</f>
        <v>0.69530529366011073</v>
      </c>
      <c r="BR6" s="7">
        <f>LN(BA6/$BF6)</f>
        <v>-0.732387460185425</v>
      </c>
      <c r="BS6" s="7">
        <f>LN(BB6/$BF6)</f>
        <v>-0.734254557392511</v>
      </c>
      <c r="BT6" s="7">
        <f>LN(BC6/$BF6)</f>
        <v>-0.20725062323004501</v>
      </c>
      <c r="BU6" s="7">
        <f>LN(BD6/$BF6)</f>
        <v>-0.734254557392511</v>
      </c>
      <c r="BV6" s="7">
        <f t="shared" si="22"/>
        <v>-0.20725062323004501</v>
      </c>
    </row>
    <row r="7" spans="1:74" x14ac:dyDescent="0.2">
      <c r="A7" s="4">
        <f t="shared" si="15"/>
        <v>0.22940920239192852</v>
      </c>
      <c r="B7" s="4">
        <f t="shared" si="1"/>
        <v>6.1005451633575125E-2</v>
      </c>
      <c r="C7" s="4">
        <f t="shared" si="2"/>
        <v>0.12116127572870758</v>
      </c>
      <c r="D7" s="4">
        <f t="shared" si="3"/>
        <v>6.9307617259649068E-2</v>
      </c>
      <c r="E7" s="4">
        <f t="shared" si="4"/>
        <v>6.4852295855469547E-2</v>
      </c>
      <c r="F7" s="4">
        <f t="shared" si="5"/>
        <v>8.5338899180283617E-2</v>
      </c>
      <c r="G7" s="4">
        <f t="shared" si="6"/>
        <v>2.3215368160739287E-2</v>
      </c>
      <c r="H7" s="4">
        <f t="shared" si="7"/>
        <v>9.1855777987656026E-2</v>
      </c>
      <c r="I7" s="4">
        <f t="shared" si="8"/>
        <v>1.7986068702652101E-2</v>
      </c>
      <c r="J7" s="4">
        <f t="shared" si="9"/>
        <v>5.8051942971516883E-3</v>
      </c>
      <c r="K7" s="4">
        <f t="shared" si="10"/>
        <v>8.1176177985010478E-2</v>
      </c>
      <c r="L7" s="4">
        <f t="shared" si="11"/>
        <v>6.1647536567207371E-3</v>
      </c>
      <c r="M7" s="4">
        <f t="shared" si="12"/>
        <v>6.0375748503070759E-2</v>
      </c>
      <c r="N7" s="4">
        <f t="shared" si="13"/>
        <v>8.2346168657385463E-2</v>
      </c>
      <c r="O7" s="5">
        <v>1964</v>
      </c>
      <c r="P7" s="6">
        <v>8948.991</v>
      </c>
      <c r="Q7" s="6">
        <v>2379.7530000000002</v>
      </c>
      <c r="R7" s="6">
        <v>4726.3630000000003</v>
      </c>
      <c r="S7" s="6">
        <v>2703.6109999999999</v>
      </c>
      <c r="T7" s="6">
        <v>2529.8140000000003</v>
      </c>
      <c r="U7" s="6">
        <v>3328.973</v>
      </c>
      <c r="V7" s="6">
        <v>905.60500000000002</v>
      </c>
      <c r="W7" s="6">
        <v>3583.1889999999999</v>
      </c>
      <c r="X7" s="6">
        <v>701.61599999999999</v>
      </c>
      <c r="Y7" s="6">
        <v>226.45400000000001</v>
      </c>
      <c r="Z7" s="6">
        <v>3166.59</v>
      </c>
      <c r="AA7" s="6">
        <v>240.48</v>
      </c>
      <c r="AB7" s="6">
        <v>2355.1889999999999</v>
      </c>
      <c r="AC7" s="6">
        <v>3212.23</v>
      </c>
      <c r="AD7" s="6">
        <v>39008.858</v>
      </c>
      <c r="AE7" s="6">
        <v>6828.1980000000003</v>
      </c>
      <c r="AF7" s="6">
        <f t="shared" si="16"/>
        <v>32180.66</v>
      </c>
      <c r="AG7" s="6">
        <v>47882.1</v>
      </c>
      <c r="AH7" s="6">
        <f t="shared" si="17"/>
        <v>15701.439999999999</v>
      </c>
      <c r="AI7" s="7">
        <v>0.12670000000000001</v>
      </c>
      <c r="AJ7" s="6">
        <v>48310.414499999999</v>
      </c>
      <c r="AK7" s="4">
        <f t="shared" si="18"/>
        <v>0.17504224296953272</v>
      </c>
      <c r="AL7" s="4">
        <f t="shared" si="19"/>
        <v>0.82495775703046725</v>
      </c>
      <c r="AM7" s="6">
        <f t="shared" si="20"/>
        <v>307883.64640883979</v>
      </c>
      <c r="AN7" s="6">
        <f t="shared" si="14"/>
        <v>53892.644041041829</v>
      </c>
      <c r="AO7" s="6">
        <f t="shared" si="14"/>
        <v>253991.00236779792</v>
      </c>
      <c r="AP7" s="6">
        <f t="shared" si="14"/>
        <v>377917.12707182317</v>
      </c>
      <c r="AQ7" s="6">
        <f t="shared" si="14"/>
        <v>123926.12470402523</v>
      </c>
      <c r="AR7" s="7">
        <v>0.14756</v>
      </c>
      <c r="AS7" s="7">
        <v>9.2109999999999997E-2</v>
      </c>
      <c r="AT7" s="7">
        <v>0.15847</v>
      </c>
      <c r="AU7" s="7">
        <v>7.841999999999999E-2</v>
      </c>
      <c r="AV7" s="7">
        <v>0.17983000000000002</v>
      </c>
      <c r="AW7" s="7">
        <v>0.22132000000000002</v>
      </c>
      <c r="AX7" s="7">
        <v>0.10757</v>
      </c>
      <c r="AY7" s="7">
        <v>0.51377000000000006</v>
      </c>
      <c r="AZ7" s="7">
        <v>0.25396999999999997</v>
      </c>
      <c r="BA7" s="7">
        <v>6.1980000000000007E-2</v>
      </c>
      <c r="BB7" s="7">
        <v>6.3750000000000001E-2</v>
      </c>
      <c r="BC7" s="7">
        <v>0.10566</v>
      </c>
      <c r="BD7" s="7">
        <v>6.3750000000000001E-2</v>
      </c>
      <c r="BE7" s="7">
        <v>0.10566</v>
      </c>
      <c r="BF7" s="7">
        <v>0.12670000000000001</v>
      </c>
      <c r="BG7" s="7">
        <v>-1.9663964265859197</v>
      </c>
      <c r="BH7" s="7">
        <f>LN(AG7)-BG7</f>
        <v>12.742893444945146</v>
      </c>
      <c r="BI7" s="7">
        <f>LN(AR7/$BF7)</f>
        <v>0.15241278540138151</v>
      </c>
      <c r="BJ7" s="7">
        <f>LN(AS7/$BF7)</f>
        <v>-0.31883857232694929</v>
      </c>
      <c r="BK7" s="7">
        <f>LN(AT7/$BF7)</f>
        <v>0.22374321362762342</v>
      </c>
      <c r="BL7" s="7">
        <f>LN(AU7/$BF7)</f>
        <v>-0.47974309046290792</v>
      </c>
      <c r="BM7" s="7">
        <f>LN(AV7/$BF7)</f>
        <v>0.35018987285001224</v>
      </c>
      <c r="BN7" s="7">
        <f>LN(AW7/$BF7)</f>
        <v>0.55778753070281561</v>
      </c>
      <c r="BO7" s="7">
        <f>LN(AX7/$BF7)</f>
        <v>-0.16368028888317934</v>
      </c>
      <c r="BP7" s="7">
        <f>LN(AY7/$BF7)</f>
        <v>1.3999536071660093</v>
      </c>
      <c r="BQ7" s="7">
        <f>LN(AZ7/$BF7)</f>
        <v>0.6953940624796594</v>
      </c>
      <c r="BR7" s="7">
        <f>LN(BA7/$BF7)</f>
        <v>-0.71501033496749111</v>
      </c>
      <c r="BS7" s="7">
        <f>LN(BB7/$BF7)</f>
        <v>-0.68685290328855786</v>
      </c>
      <c r="BT7" s="7">
        <f>LN(BC7/$BF7)</f>
        <v>-0.18159569559092362</v>
      </c>
      <c r="BU7" s="7">
        <f>LN(BD7/$BF7)</f>
        <v>-0.68685290328855786</v>
      </c>
      <c r="BV7" s="7">
        <f t="shared" si="22"/>
        <v>-0.18159569559092362</v>
      </c>
    </row>
    <row r="8" spans="1:74" x14ac:dyDescent="0.2">
      <c r="A8" s="4">
        <f t="shared" si="15"/>
        <v>0.22614792666032224</v>
      </c>
      <c r="B8" s="4">
        <f t="shared" si="1"/>
        <v>5.9642249448131415E-2</v>
      </c>
      <c r="C8" s="4">
        <f t="shared" si="2"/>
        <v>0.1168295148470629</v>
      </c>
      <c r="D8" s="4">
        <f t="shared" si="3"/>
        <v>6.9365152221963239E-2</v>
      </c>
      <c r="E8" s="4">
        <f t="shared" si="4"/>
        <v>7.3465691439914729E-2</v>
      </c>
      <c r="F8" s="4">
        <f t="shared" si="5"/>
        <v>8.2818242773731385E-2</v>
      </c>
      <c r="G8" s="4">
        <f t="shared" si="6"/>
        <v>2.2661461465127309E-2</v>
      </c>
      <c r="H8" s="4">
        <f t="shared" si="7"/>
        <v>9.2722644666849152E-2</v>
      </c>
      <c r="I8" s="4">
        <f t="shared" si="8"/>
        <v>1.7700020956624114E-2</v>
      </c>
      <c r="J8" s="4">
        <f t="shared" si="9"/>
        <v>6.3665267660016891E-3</v>
      </c>
      <c r="K8" s="4">
        <f t="shared" si="10"/>
        <v>8.223657089746568E-2</v>
      </c>
      <c r="L8" s="4">
        <f t="shared" si="11"/>
        <v>6.2501251065523343E-3</v>
      </c>
      <c r="M8" s="4">
        <f t="shared" si="12"/>
        <v>5.9618291468265396E-2</v>
      </c>
      <c r="N8" s="4">
        <f t="shared" si="13"/>
        <v>8.4175581281988376E-2</v>
      </c>
      <c r="O8" s="5">
        <v>1965</v>
      </c>
      <c r="P8" s="6">
        <v>9411.0390000000007</v>
      </c>
      <c r="Q8" s="6">
        <v>2481.9839999999999</v>
      </c>
      <c r="R8" s="6">
        <v>4861.8050000000003</v>
      </c>
      <c r="S8" s="6">
        <v>2886.5979999999995</v>
      </c>
      <c r="T8" s="6">
        <v>3057.2400000000002</v>
      </c>
      <c r="U8" s="6">
        <v>3446.442</v>
      </c>
      <c r="V8" s="6">
        <v>943.04600000000005</v>
      </c>
      <c r="W8" s="6">
        <v>3858.6090000000004</v>
      </c>
      <c r="X8" s="6">
        <v>736.57799999999997</v>
      </c>
      <c r="Y8" s="6">
        <v>264.94</v>
      </c>
      <c r="Z8" s="6">
        <v>3422.2359999999999</v>
      </c>
      <c r="AA8" s="6">
        <v>260.096</v>
      </c>
      <c r="AB8" s="6">
        <v>2480.9870000000001</v>
      </c>
      <c r="AC8" s="6">
        <v>3502.9270000000001</v>
      </c>
      <c r="AD8" s="6">
        <v>41614.527000000002</v>
      </c>
      <c r="AE8" s="6">
        <v>7706.2719999999999</v>
      </c>
      <c r="AF8" s="6">
        <f t="shared" si="16"/>
        <v>33908.255000000005</v>
      </c>
      <c r="AG8" s="6">
        <v>51445.7</v>
      </c>
      <c r="AH8" s="6">
        <f t="shared" si="17"/>
        <v>17537.444999999992</v>
      </c>
      <c r="AI8" s="7">
        <v>0.13005</v>
      </c>
      <c r="AJ8" s="6">
        <v>48757.796000000002</v>
      </c>
      <c r="AK8" s="4">
        <f t="shared" si="18"/>
        <v>0.18518225618664366</v>
      </c>
      <c r="AL8" s="4">
        <f t="shared" si="19"/>
        <v>0.81481774381335637</v>
      </c>
      <c r="AM8" s="6">
        <f t="shared" si="20"/>
        <v>319988.6735870819</v>
      </c>
      <c r="AN8" s="6">
        <f t="shared" si="14"/>
        <v>59256.224529027299</v>
      </c>
      <c r="AO8" s="6">
        <f t="shared" si="14"/>
        <v>260732.44905805463</v>
      </c>
      <c r="AP8" s="6">
        <f t="shared" si="14"/>
        <v>395584.00615148019</v>
      </c>
      <c r="AQ8" s="6">
        <f t="shared" si="14"/>
        <v>134851.55709342554</v>
      </c>
      <c r="AR8" s="7">
        <v>0.14957999999999999</v>
      </c>
      <c r="AS8" s="7">
        <v>9.3039999999999998E-2</v>
      </c>
      <c r="AT8" s="7">
        <v>0.16183</v>
      </c>
      <c r="AU8" s="7">
        <v>8.3549999999999999E-2</v>
      </c>
      <c r="AV8" s="7">
        <v>0.18148</v>
      </c>
      <c r="AW8" s="7">
        <v>0.22539999999999999</v>
      </c>
      <c r="AX8" s="7">
        <v>0.10865</v>
      </c>
      <c r="AY8" s="7">
        <v>0.57323999999999997</v>
      </c>
      <c r="AZ8" s="7">
        <v>0.26001000000000002</v>
      </c>
      <c r="BA8" s="7">
        <v>6.4379999999999993E-2</v>
      </c>
      <c r="BB8" s="7">
        <v>6.6710000000000005E-2</v>
      </c>
      <c r="BC8" s="7">
        <v>0.10992</v>
      </c>
      <c r="BD8" s="7">
        <v>6.6710000000000005E-2</v>
      </c>
      <c r="BE8" s="7">
        <v>0.10992</v>
      </c>
      <c r="BF8" s="7">
        <v>0.13005</v>
      </c>
      <c r="BG8" s="7">
        <v>-1.9319402355149884</v>
      </c>
      <c r="BH8" s="7">
        <f>LN(AG8)-BG8</f>
        <v>12.780222396996834</v>
      </c>
      <c r="BI8" s="7">
        <f>LN(AR8/$BF8)</f>
        <v>0.13991237486886085</v>
      </c>
      <c r="BJ8" s="7">
        <f>LN(AS8/$BF8)</f>
        <v>-0.33488948368425153</v>
      </c>
      <c r="BK8" s="7">
        <f>LN(AT8/$BF8)</f>
        <v>0.21862740963413349</v>
      </c>
      <c r="BL8" s="7">
        <f>LN(AU8/$BF8)</f>
        <v>-0.44247373685325775</v>
      </c>
      <c r="BM8" s="7">
        <f>LN(AV8/$BF8)</f>
        <v>0.33322646290110258</v>
      </c>
      <c r="BN8" s="7">
        <f>LN(AW8/$BF8)</f>
        <v>0.54995760971101537</v>
      </c>
      <c r="BO8" s="7">
        <f>LN(AX8/$BF8)</f>
        <v>-0.17978728519222195</v>
      </c>
      <c r="BP8" s="7">
        <f>LN(AY8/$BF8)</f>
        <v>1.4833854852952102</v>
      </c>
      <c r="BQ8" s="7">
        <f>LN(AZ8/$BF8)</f>
        <v>0.69280109991970285</v>
      </c>
      <c r="BR8" s="7">
        <f>LN(BA8/$BF8)</f>
        <v>-0.70311596602399851</v>
      </c>
      <c r="BS8" s="7">
        <f>LN(BB8/$BF8)</f>
        <v>-0.66756412517323649</v>
      </c>
      <c r="BT8" s="7">
        <f>LN(BC8/$BF8)</f>
        <v>-0.1681661634206213</v>
      </c>
      <c r="BU8" s="7">
        <f>LN(BD8/$BF8)</f>
        <v>-0.66756412517323649</v>
      </c>
      <c r="BV8" s="7">
        <f t="shared" si="22"/>
        <v>-0.1681661634206213</v>
      </c>
    </row>
    <row r="9" spans="1:74" x14ac:dyDescent="0.2">
      <c r="A9" s="4">
        <f t="shared" si="15"/>
        <v>0.22278188398088725</v>
      </c>
      <c r="B9" s="4">
        <f t="shared" si="1"/>
        <v>5.7205666831680005E-2</v>
      </c>
      <c r="C9" s="4">
        <f t="shared" si="2"/>
        <v>0.11352794053326316</v>
      </c>
      <c r="D9" s="4">
        <f t="shared" si="3"/>
        <v>6.7073144960070011E-2</v>
      </c>
      <c r="E9" s="4">
        <f t="shared" si="4"/>
        <v>8.2056949048601668E-2</v>
      </c>
      <c r="F9" s="4">
        <f t="shared" si="5"/>
        <v>8.1075878157771161E-2</v>
      </c>
      <c r="G9" s="4">
        <f t="shared" si="6"/>
        <v>2.3002411935523864E-2</v>
      </c>
      <c r="H9" s="4">
        <f t="shared" si="7"/>
        <v>9.5733459435745086E-2</v>
      </c>
      <c r="I9" s="4">
        <f t="shared" si="8"/>
        <v>1.7389955914429562E-2</v>
      </c>
      <c r="J9" s="4">
        <f t="shared" si="9"/>
        <v>6.2026601540447904E-3</v>
      </c>
      <c r="K9" s="4">
        <f t="shared" si="10"/>
        <v>8.2350760905529549E-2</v>
      </c>
      <c r="L9" s="4">
        <f t="shared" si="11"/>
        <v>6.2821637561541318E-3</v>
      </c>
      <c r="M9" s="4">
        <f t="shared" si="12"/>
        <v>5.901525245685927E-2</v>
      </c>
      <c r="N9" s="4">
        <f t="shared" si="13"/>
        <v>8.6301871929440291E-2</v>
      </c>
      <c r="O9" s="5">
        <v>1966</v>
      </c>
      <c r="P9" s="6">
        <v>10014.923000000001</v>
      </c>
      <c r="Q9" s="6">
        <v>2571.62</v>
      </c>
      <c r="R9" s="6">
        <v>5103.5280000000002</v>
      </c>
      <c r="S9" s="6">
        <v>3015.2020000000002</v>
      </c>
      <c r="T9" s="6">
        <v>3688.7829999999994</v>
      </c>
      <c r="U9" s="6">
        <v>3644.68</v>
      </c>
      <c r="V9" s="6">
        <v>1034.049</v>
      </c>
      <c r="W9" s="6">
        <v>4303.5960000000005</v>
      </c>
      <c r="X9" s="6">
        <v>781.74699999999996</v>
      </c>
      <c r="Y9" s="6">
        <v>278.834</v>
      </c>
      <c r="Z9" s="6">
        <v>3701.991</v>
      </c>
      <c r="AA9" s="6">
        <v>282.40800000000002</v>
      </c>
      <c r="AB9" s="6">
        <v>2652.9679999999998</v>
      </c>
      <c r="AC9" s="6">
        <v>3879.6089999999999</v>
      </c>
      <c r="AD9" s="6">
        <v>44953.938000000009</v>
      </c>
      <c r="AE9" s="6">
        <v>8632.2929999999997</v>
      </c>
      <c r="AF9" s="6">
        <f t="shared" si="16"/>
        <v>36321.645000000011</v>
      </c>
      <c r="AG9" s="6">
        <v>55574.7</v>
      </c>
      <c r="AH9" s="6">
        <f t="shared" si="17"/>
        <v>19253.054999999986</v>
      </c>
      <c r="AI9" s="7">
        <v>0.13397000000000001</v>
      </c>
      <c r="AJ9" s="6">
        <v>49163.664499999999</v>
      </c>
      <c r="AK9" s="4">
        <f t="shared" si="18"/>
        <v>0.19202529042060781</v>
      </c>
      <c r="AL9" s="4">
        <f t="shared" si="19"/>
        <v>0.80797470957939221</v>
      </c>
      <c r="AM9" s="6">
        <f t="shared" si="20"/>
        <v>335552.27289691725</v>
      </c>
      <c r="AN9" s="6">
        <f t="shared" si="14"/>
        <v>64434.522654325592</v>
      </c>
      <c r="AO9" s="6">
        <f t="shared" si="14"/>
        <v>271117.75024259172</v>
      </c>
      <c r="AP9" s="6">
        <f t="shared" si="14"/>
        <v>414829.43942673731</v>
      </c>
      <c r="AQ9" s="6">
        <f t="shared" si="14"/>
        <v>143711.68918414559</v>
      </c>
      <c r="AR9" s="7">
        <v>0.15384</v>
      </c>
      <c r="AS9" s="7">
        <v>9.3599999999999989E-2</v>
      </c>
      <c r="AT9" s="7">
        <v>0.16515999999999997</v>
      </c>
      <c r="AU9" s="7">
        <v>8.8689999999999991E-2</v>
      </c>
      <c r="AV9" s="7">
        <v>0.18286000000000002</v>
      </c>
      <c r="AW9" s="7">
        <v>0.2311</v>
      </c>
      <c r="AX9" s="7">
        <v>0.11051</v>
      </c>
      <c r="AY9" s="7">
        <v>0.59146999999999994</v>
      </c>
      <c r="AZ9" s="7">
        <v>0.26495999999999997</v>
      </c>
      <c r="BA9" s="7">
        <v>6.6869999999999999E-2</v>
      </c>
      <c r="BB9" s="7">
        <v>7.0519999999999999E-2</v>
      </c>
      <c r="BC9" s="7">
        <v>0.11466</v>
      </c>
      <c r="BD9" s="7">
        <v>7.0519999999999999E-2</v>
      </c>
      <c r="BE9" s="7">
        <v>0.11466</v>
      </c>
      <c r="BF9" s="7">
        <v>0.13397000000000001</v>
      </c>
      <c r="BG9" s="7">
        <v>-1.8938557400278848</v>
      </c>
      <c r="BH9" s="7">
        <f>LN(AG9)-BG9</f>
        <v>12.81933908073505</v>
      </c>
      <c r="BI9" s="7">
        <f>LN(AR9/$BF9)</f>
        <v>0.13829720699162987</v>
      </c>
      <c r="BJ9" s="7">
        <f>LN(AS9/$BF9)</f>
        <v>-0.35858551080534828</v>
      </c>
      <c r="BK9" s="7">
        <f>LN(AT9/$BF9)</f>
        <v>0.20929880672899487</v>
      </c>
      <c r="BL9" s="7">
        <f>LN(AU9/$BF9)</f>
        <v>-0.41246875090053353</v>
      </c>
      <c r="BM9" s="7">
        <f>LN(AV9/$BF9)</f>
        <v>0.31110493844738607</v>
      </c>
      <c r="BN9" s="7">
        <f>LN(AW9/$BF9)</f>
        <v>0.54523462299144054</v>
      </c>
      <c r="BO9" s="7">
        <f>LN(AX9/$BF9)</f>
        <v>-0.19250987968820374</v>
      </c>
      <c r="BP9" s="7">
        <f>LN(AY9/$BF9)</f>
        <v>1.4849950693310627</v>
      </c>
      <c r="BQ9" s="7">
        <f>LN(AZ9/$BF9)</f>
        <v>0.68196297690800023</v>
      </c>
      <c r="BR9" s="7">
        <f>LN(BA9/$BF9)</f>
        <v>-0.69486545822300738</v>
      </c>
      <c r="BS9" s="7">
        <f>LN(BB9/$BF9)</f>
        <v>-0.64171953675922511</v>
      </c>
      <c r="BT9" s="7">
        <f>LN(BC9/$BF9)</f>
        <v>-0.15564466680865791</v>
      </c>
      <c r="BU9" s="7">
        <f>LN(BD9/$BF9)</f>
        <v>-0.64171953675922511</v>
      </c>
      <c r="BV9" s="7">
        <f t="shared" si="22"/>
        <v>-0.15564466680865791</v>
      </c>
    </row>
    <row r="10" spans="1:74" x14ac:dyDescent="0.2">
      <c r="A10" s="4">
        <f t="shared" si="15"/>
        <v>0.21661326126026459</v>
      </c>
      <c r="B10" s="4">
        <f t="shared" si="1"/>
        <v>5.549285466340971E-2</v>
      </c>
      <c r="C10" s="4">
        <f t="shared" si="2"/>
        <v>0.10949488816550156</v>
      </c>
      <c r="D10" s="4">
        <f t="shared" si="3"/>
        <v>6.9514817562733033E-2</v>
      </c>
      <c r="E10" s="4">
        <f t="shared" si="4"/>
        <v>9.0464417956619511E-2</v>
      </c>
      <c r="F10" s="4">
        <f t="shared" si="5"/>
        <v>7.988407135302851E-2</v>
      </c>
      <c r="G10" s="4">
        <f t="shared" si="6"/>
        <v>2.2852723443530579E-2</v>
      </c>
      <c r="H10" s="4">
        <f t="shared" si="7"/>
        <v>9.6624884207691109E-2</v>
      </c>
      <c r="I10" s="4">
        <f t="shared" si="8"/>
        <v>1.7401523291604579E-2</v>
      </c>
      <c r="J10" s="4">
        <f t="shared" si="9"/>
        <v>6.3768194323417758E-3</v>
      </c>
      <c r="K10" s="4">
        <f t="shared" si="10"/>
        <v>8.2924954460316364E-2</v>
      </c>
      <c r="L10" s="4">
        <f t="shared" si="11"/>
        <v>6.0944445233271334E-3</v>
      </c>
      <c r="M10" s="4">
        <f t="shared" si="12"/>
        <v>5.8220067781896194E-2</v>
      </c>
      <c r="N10" s="4">
        <f t="shared" si="13"/>
        <v>8.80402718977355E-2</v>
      </c>
      <c r="O10" s="5">
        <v>1967</v>
      </c>
      <c r="P10" s="6">
        <v>10541.656999999999</v>
      </c>
      <c r="Q10" s="6">
        <v>2700.6039999999998</v>
      </c>
      <c r="R10" s="6">
        <v>5328.6559999999999</v>
      </c>
      <c r="S10" s="6">
        <v>3382.9940000000001</v>
      </c>
      <c r="T10" s="6">
        <v>4402.5229999999992</v>
      </c>
      <c r="U10" s="6">
        <v>3887.6219999999998</v>
      </c>
      <c r="V10" s="6">
        <v>1112.146</v>
      </c>
      <c r="W10" s="6">
        <v>4702.3270000000002</v>
      </c>
      <c r="X10" s="6">
        <v>846.85900000000004</v>
      </c>
      <c r="Y10" s="6">
        <v>310.33300000000003</v>
      </c>
      <c r="Z10" s="6">
        <v>4035.6089999999999</v>
      </c>
      <c r="AA10" s="6">
        <v>296.59100000000001</v>
      </c>
      <c r="AB10" s="6">
        <v>2833.326</v>
      </c>
      <c r="AC10" s="6">
        <v>4284.55</v>
      </c>
      <c r="AD10" s="6">
        <v>48665.796999999991</v>
      </c>
      <c r="AE10" s="6">
        <v>9941.7170000000006</v>
      </c>
      <c r="AF10" s="6">
        <f t="shared" si="16"/>
        <v>38724.079999999987</v>
      </c>
      <c r="AG10" s="6">
        <v>60552.9</v>
      </c>
      <c r="AH10" s="6">
        <f t="shared" si="17"/>
        <v>21828.820000000014</v>
      </c>
      <c r="AI10" s="7">
        <v>0.13818</v>
      </c>
      <c r="AJ10" s="6">
        <v>49548.304499999998</v>
      </c>
      <c r="AK10" s="4">
        <f t="shared" si="18"/>
        <v>0.20428550671840434</v>
      </c>
      <c r="AL10" s="4">
        <f t="shared" si="19"/>
        <v>0.7957144932815956</v>
      </c>
      <c r="AM10" s="6">
        <f t="shared" si="20"/>
        <v>352191.32291214354</v>
      </c>
      <c r="AN10" s="6">
        <f t="shared" si="14"/>
        <v>71947.58286293241</v>
      </c>
      <c r="AO10" s="6">
        <f t="shared" si="14"/>
        <v>280243.74004921108</v>
      </c>
      <c r="AP10" s="6">
        <f t="shared" si="14"/>
        <v>438217.54233608337</v>
      </c>
      <c r="AQ10" s="6">
        <f t="shared" si="14"/>
        <v>157973.80228687229</v>
      </c>
      <c r="AR10" s="7">
        <v>0.15531</v>
      </c>
      <c r="AS10" s="7">
        <v>9.486E-2</v>
      </c>
      <c r="AT10" s="7">
        <v>0.16882999999999998</v>
      </c>
      <c r="AU10" s="7">
        <v>9.5509999999999998E-2</v>
      </c>
      <c r="AV10" s="7">
        <v>0.18417000000000003</v>
      </c>
      <c r="AW10" s="7">
        <v>0.23718</v>
      </c>
      <c r="AX10" s="7">
        <v>0.11334</v>
      </c>
      <c r="AY10" s="7">
        <v>0.61500999999999995</v>
      </c>
      <c r="AZ10" s="7">
        <v>0.27281</v>
      </c>
      <c r="BA10" s="7">
        <v>6.9290000000000004E-2</v>
      </c>
      <c r="BB10" s="7">
        <v>7.4499999999999997E-2</v>
      </c>
      <c r="BC10" s="7">
        <v>0.12000999999999999</v>
      </c>
      <c r="BD10" s="7">
        <v>7.4499999999999997E-2</v>
      </c>
      <c r="BE10" s="7">
        <v>0.12000999999999999</v>
      </c>
      <c r="BF10" s="7">
        <v>0.13818</v>
      </c>
      <c r="BG10" s="7">
        <v>-1.8626357124007107</v>
      </c>
      <c r="BH10" s="7">
        <f>LN(AG10)-BG10</f>
        <v>12.873908354537283</v>
      </c>
      <c r="BI10" s="7">
        <f>LN(AR10/$BF10)</f>
        <v>0.11686593652127081</v>
      </c>
      <c r="BJ10" s="7">
        <f>LN(AS10/$BF10)</f>
        <v>-0.37615506261121323</v>
      </c>
      <c r="BK10" s="7">
        <f>LN(AT10/$BF10)</f>
        <v>0.2003351084284534</v>
      </c>
      <c r="BL10" s="7">
        <f>LN(AU10/$BF10)</f>
        <v>-0.36932622901400253</v>
      </c>
      <c r="BM10" s="7">
        <f>LN(AV10/$BF10)</f>
        <v>0.28730206104686606</v>
      </c>
      <c r="BN10" s="7">
        <f>LN(AW10/$BF10)</f>
        <v>0.54026216347600031</v>
      </c>
      <c r="BO10" s="7">
        <f>LN(AX10/$BF10)</f>
        <v>-0.19816503231917565</v>
      </c>
      <c r="BP10" s="7">
        <f>LN(AY10/$BF10)</f>
        <v>1.4930813447762754</v>
      </c>
      <c r="BQ10" s="7">
        <f>LN(AZ10/$BF10)</f>
        <v>0.68021839912830639</v>
      </c>
      <c r="BR10" s="7">
        <f>LN(BA10/$BF10)</f>
        <v>-0.69025658742135887</v>
      </c>
      <c r="BS10" s="7">
        <f>LN(BB10/$BF10)</f>
        <v>-0.61775805767513514</v>
      </c>
      <c r="BT10" s="7">
        <f>LN(BC10/$BF10)</f>
        <v>-0.14098211041729886</v>
      </c>
      <c r="BU10" s="7">
        <f>LN(BD10/$BF10)</f>
        <v>-0.61775805767513514</v>
      </c>
      <c r="BV10" s="7">
        <f t="shared" si="22"/>
        <v>-0.14098211041729886</v>
      </c>
    </row>
    <row r="11" spans="1:74" x14ac:dyDescent="0.2">
      <c r="A11" s="4">
        <f t="shared" si="15"/>
        <v>0.209815792568573</v>
      </c>
      <c r="B11" s="4">
        <f t="shared" si="1"/>
        <v>5.4636788230487419E-2</v>
      </c>
      <c r="C11" s="4">
        <f t="shared" si="2"/>
        <v>0.1061522836121848</v>
      </c>
      <c r="D11" s="4">
        <f t="shared" si="3"/>
        <v>7.271736629899142E-2</v>
      </c>
      <c r="E11" s="4">
        <f t="shared" si="4"/>
        <v>9.6362640259900309E-2</v>
      </c>
      <c r="F11" s="4">
        <f t="shared" si="5"/>
        <v>8.023527536786064E-2</v>
      </c>
      <c r="G11" s="4">
        <f t="shared" si="6"/>
        <v>2.1531073218838067E-2</v>
      </c>
      <c r="H11" s="4">
        <f t="shared" si="7"/>
        <v>9.842016872345366E-2</v>
      </c>
      <c r="I11" s="4">
        <f t="shared" si="8"/>
        <v>1.6978856960126392E-2</v>
      </c>
      <c r="J11" s="4">
        <f t="shared" si="9"/>
        <v>6.2450823564217028E-3</v>
      </c>
      <c r="K11" s="4">
        <f t="shared" si="10"/>
        <v>8.3942682344557887E-2</v>
      </c>
      <c r="L11" s="4">
        <f t="shared" si="11"/>
        <v>6.1155376747227099E-3</v>
      </c>
      <c r="M11" s="4">
        <f t="shared" si="12"/>
        <v>5.6074732320159151E-2</v>
      </c>
      <c r="N11" s="4">
        <f t="shared" si="13"/>
        <v>9.0771720063723013E-2</v>
      </c>
      <c r="O11" s="5">
        <v>1968</v>
      </c>
      <c r="P11" s="6">
        <v>11177.138000000001</v>
      </c>
      <c r="Q11" s="6">
        <v>2910.567</v>
      </c>
      <c r="R11" s="6">
        <v>5654.8590000000004</v>
      </c>
      <c r="S11" s="6">
        <v>3873.741</v>
      </c>
      <c r="T11" s="6">
        <v>5133.3529999999992</v>
      </c>
      <c r="U11" s="6">
        <v>4274.2290000000003</v>
      </c>
      <c r="V11" s="6">
        <v>1146.9860000000001</v>
      </c>
      <c r="W11" s="6">
        <v>5242.96</v>
      </c>
      <c r="X11" s="6">
        <v>904.48400000000004</v>
      </c>
      <c r="Y11" s="6">
        <v>332.68299999999999</v>
      </c>
      <c r="Z11" s="6">
        <v>4471.7269999999999</v>
      </c>
      <c r="AA11" s="6">
        <v>325.78199999999998</v>
      </c>
      <c r="AB11" s="6">
        <v>2987.1680000000001</v>
      </c>
      <c r="AC11" s="6">
        <v>4835.518</v>
      </c>
      <c r="AD11" s="6">
        <v>53271.194999999992</v>
      </c>
      <c r="AE11" s="6">
        <v>11454.617</v>
      </c>
      <c r="AF11" s="6">
        <f t="shared" si="16"/>
        <v>41816.577999999994</v>
      </c>
      <c r="AG11" s="6">
        <v>66481.600000000006</v>
      </c>
      <c r="AH11" s="6">
        <f t="shared" si="17"/>
        <v>24665.022000000012</v>
      </c>
      <c r="AI11" s="7">
        <v>0.14513999999999999</v>
      </c>
      <c r="AJ11" s="6">
        <v>49915.4035</v>
      </c>
      <c r="AK11" s="4">
        <f t="shared" si="18"/>
        <v>0.2150245925588867</v>
      </c>
      <c r="AL11" s="4">
        <f t="shared" si="19"/>
        <v>0.78497540744111338</v>
      </c>
      <c r="AM11" s="6">
        <f t="shared" si="20"/>
        <v>367033.17486564693</v>
      </c>
      <c r="AN11" s="6">
        <f t="shared" si="14"/>
        <v>78921.158881080337</v>
      </c>
      <c r="AO11" s="6">
        <f t="shared" si="14"/>
        <v>288112.01598456659</v>
      </c>
      <c r="AP11" s="6">
        <f t="shared" si="14"/>
        <v>458051.53644756792</v>
      </c>
      <c r="AQ11" s="6">
        <f t="shared" si="14"/>
        <v>169939.52046300133</v>
      </c>
      <c r="AR11" s="7">
        <v>0.15981999999999999</v>
      </c>
      <c r="AS11" s="7">
        <v>9.9949999999999997E-2</v>
      </c>
      <c r="AT11" s="7">
        <v>0.17219000000000001</v>
      </c>
      <c r="AU11" s="7">
        <v>0.10308</v>
      </c>
      <c r="AV11" s="7">
        <v>0.18861</v>
      </c>
      <c r="AW11" s="7">
        <v>0.24317</v>
      </c>
      <c r="AX11" s="7">
        <v>0.11968999999999999</v>
      </c>
      <c r="AY11" s="7">
        <v>0.63460000000000005</v>
      </c>
      <c r="AZ11" s="7">
        <v>0.29103000000000001</v>
      </c>
      <c r="BA11" s="7">
        <v>7.4270000000000003E-2</v>
      </c>
      <c r="BB11" s="7">
        <v>8.0630000000000007E-2</v>
      </c>
      <c r="BC11" s="7">
        <v>0.12869</v>
      </c>
      <c r="BD11" s="7">
        <v>8.0630000000000007E-2</v>
      </c>
      <c r="BE11" s="7">
        <v>0.12869</v>
      </c>
      <c r="BF11" s="7">
        <v>0.14513999999999999</v>
      </c>
      <c r="BG11" s="7">
        <v>-1.8155968676330609</v>
      </c>
      <c r="BH11" s="7">
        <f>LN(AG11)-BG11</f>
        <v>12.920277364261464</v>
      </c>
      <c r="BI11" s="7">
        <f>LN(AR11/$BF11)</f>
        <v>9.6349388096325941E-2</v>
      </c>
      <c r="BJ11" s="7">
        <f>LN(AS11/$BF11)</f>
        <v>-0.37302873290358179</v>
      </c>
      <c r="BK11" s="7">
        <f>LN(AT11/$BF11)</f>
        <v>0.17089972444810375</v>
      </c>
      <c r="BL11" s="7">
        <f>LN(AU11/$BF11)</f>
        <v>-0.34219340806582643</v>
      </c>
      <c r="BM11" s="7">
        <f>LN(AV11/$BF11)</f>
        <v>0.26198259721308853</v>
      </c>
      <c r="BN11" s="7">
        <f>LN(AW11/$BF11)</f>
        <v>0.51606199336997705</v>
      </c>
      <c r="BO11" s="7">
        <f>LN(AX11/$BF11)</f>
        <v>-0.19279372696471175</v>
      </c>
      <c r="BP11" s="7">
        <f>LN(AY11/$BF11)</f>
        <v>1.4752960852991044</v>
      </c>
      <c r="BQ11" s="7">
        <f>LN(AZ11/$BF11)</f>
        <v>0.69572756079131093</v>
      </c>
      <c r="BR11" s="7">
        <f>LN(BA11/$BF11)</f>
        <v>-0.66999169216878574</v>
      </c>
      <c r="BS11" s="7">
        <f>LN(BB11/$BF11)</f>
        <v>-0.58782800515306</v>
      </c>
      <c r="BT11" s="7">
        <f>LN(BC11/$BF11)</f>
        <v>-0.1202923823444174</v>
      </c>
      <c r="BU11" s="7">
        <f>LN(BD11/$BF11)</f>
        <v>-0.58782800515306</v>
      </c>
      <c r="BV11" s="7">
        <f t="shared" si="22"/>
        <v>-0.1202923823444174</v>
      </c>
    </row>
    <row r="12" spans="1:74" x14ac:dyDescent="0.2">
      <c r="A12" s="4">
        <f t="shared" si="15"/>
        <v>0.20250836729038316</v>
      </c>
      <c r="B12" s="4">
        <f t="shared" si="1"/>
        <v>5.2250769687194755E-2</v>
      </c>
      <c r="C12" s="4">
        <f t="shared" si="2"/>
        <v>0.10417495686440698</v>
      </c>
      <c r="D12" s="4">
        <f t="shared" si="3"/>
        <v>7.1433807312046835E-2</v>
      </c>
      <c r="E12" s="4">
        <f t="shared" si="4"/>
        <v>0.1026796772756824</v>
      </c>
      <c r="F12" s="4">
        <f t="shared" si="5"/>
        <v>7.943886634214363E-2</v>
      </c>
      <c r="G12" s="4">
        <f t="shared" si="6"/>
        <v>2.1662172699624692E-2</v>
      </c>
      <c r="H12" s="4">
        <f t="shared" si="7"/>
        <v>0.10208795084715504</v>
      </c>
      <c r="I12" s="4">
        <f t="shared" si="8"/>
        <v>1.6909053877733917E-2</v>
      </c>
      <c r="J12" s="4">
        <f t="shared" si="9"/>
        <v>7.1898926533559594E-3</v>
      </c>
      <c r="K12" s="4">
        <f t="shared" si="10"/>
        <v>8.2896467264560514E-2</v>
      </c>
      <c r="L12" s="4">
        <f t="shared" si="11"/>
        <v>6.257156573021427E-3</v>
      </c>
      <c r="M12" s="4">
        <f t="shared" si="12"/>
        <v>5.485435939998537E-2</v>
      </c>
      <c r="N12" s="4">
        <f t="shared" si="13"/>
        <v>9.5656501912705458E-2</v>
      </c>
      <c r="O12" s="5">
        <v>1969</v>
      </c>
      <c r="P12" s="6">
        <v>12324.156000000001</v>
      </c>
      <c r="Q12" s="6">
        <v>3179.8519999999999</v>
      </c>
      <c r="R12" s="6">
        <v>6339.8289999999997</v>
      </c>
      <c r="S12" s="6">
        <v>4347.2839999999997</v>
      </c>
      <c r="T12" s="6">
        <v>6248.83</v>
      </c>
      <c r="U12" s="6">
        <v>4834.4520000000002</v>
      </c>
      <c r="V12" s="6">
        <v>1318.306</v>
      </c>
      <c r="W12" s="6">
        <v>6212.8189999999995</v>
      </c>
      <c r="X12" s="6">
        <v>1029.0429999999999</v>
      </c>
      <c r="Y12" s="6">
        <v>437.55900000000003</v>
      </c>
      <c r="Z12" s="6">
        <v>5044.8729999999996</v>
      </c>
      <c r="AA12" s="6">
        <v>380.79500000000002</v>
      </c>
      <c r="AB12" s="6">
        <v>3338.3</v>
      </c>
      <c r="AC12" s="6">
        <v>5821.4170000000004</v>
      </c>
      <c r="AD12" s="6">
        <v>60857.514999999992</v>
      </c>
      <c r="AE12" s="6">
        <v>13708.499</v>
      </c>
      <c r="AF12" s="6">
        <f t="shared" si="16"/>
        <v>47149.015999999989</v>
      </c>
      <c r="AG12" s="6">
        <v>74577.8</v>
      </c>
      <c r="AH12" s="6">
        <f t="shared" si="17"/>
        <v>27428.784000000014</v>
      </c>
      <c r="AI12" s="7">
        <v>0.15543999999999999</v>
      </c>
      <c r="AJ12" s="6">
        <v>50317.976999999999</v>
      </c>
      <c r="AK12" s="4">
        <f t="shared" si="18"/>
        <v>0.22525564837801876</v>
      </c>
      <c r="AL12" s="4">
        <f t="shared" si="19"/>
        <v>0.77474435162198119</v>
      </c>
      <c r="AM12" s="6">
        <f t="shared" si="20"/>
        <v>391517.72388059698</v>
      </c>
      <c r="AN12" s="6">
        <f t="shared" si="14"/>
        <v>88191.578744209983</v>
      </c>
      <c r="AO12" s="6">
        <f t="shared" si="14"/>
        <v>303326.14513638697</v>
      </c>
      <c r="AP12" s="6">
        <f t="shared" si="14"/>
        <v>479785.12609366962</v>
      </c>
      <c r="AQ12" s="6">
        <f t="shared" si="14"/>
        <v>176458.98095728265</v>
      </c>
      <c r="AR12" s="7">
        <v>0.16933000000000001</v>
      </c>
      <c r="AS12" s="7">
        <v>0.10691000000000001</v>
      </c>
      <c r="AT12" s="7">
        <v>0.1804</v>
      </c>
      <c r="AU12" s="7">
        <v>0.11182</v>
      </c>
      <c r="AV12" s="7">
        <v>0.19849</v>
      </c>
      <c r="AW12" s="7">
        <v>0.2611</v>
      </c>
      <c r="AX12" s="7">
        <v>0.12886</v>
      </c>
      <c r="AY12" s="7">
        <v>0.746</v>
      </c>
      <c r="AZ12" s="7">
        <v>0.30890999999999996</v>
      </c>
      <c r="BA12" s="7">
        <v>8.1669999999999993E-2</v>
      </c>
      <c r="BB12" s="7">
        <v>8.7769999999999987E-2</v>
      </c>
      <c r="BC12" s="7">
        <v>0.14102000000000001</v>
      </c>
      <c r="BD12" s="7">
        <v>8.7769999999999987E-2</v>
      </c>
      <c r="BE12" s="7">
        <v>0.14102000000000001</v>
      </c>
      <c r="BF12" s="7">
        <v>0.15543999999999999</v>
      </c>
      <c r="BG12" s="7">
        <v>-1.7310374989820059</v>
      </c>
      <c r="BH12" s="7">
        <f>LN(AG12)-BG12</f>
        <v>12.950635653754654</v>
      </c>
      <c r="BI12" s="7">
        <f>LN(AR12/$BF12)</f>
        <v>8.5589668608064634E-2</v>
      </c>
      <c r="BJ12" s="7">
        <f>LN(AS12/$BF12)</f>
        <v>-0.37427244604377613</v>
      </c>
      <c r="BK12" s="7">
        <f>LN(AT12/$BF12)</f>
        <v>0.14891680255933876</v>
      </c>
      <c r="BL12" s="7">
        <f>LN(AU12/$BF12)</f>
        <v>-0.32936936947068529</v>
      </c>
      <c r="BM12" s="7">
        <f>LN(AV12/$BF12)</f>
        <v>0.24447891595530158</v>
      </c>
      <c r="BN12" s="7">
        <f>LN(AW12/$BF12)</f>
        <v>0.51864367063589856</v>
      </c>
      <c r="BO12" s="7">
        <f>LN(AX12/$BF12)</f>
        <v>-0.1875332613586882</v>
      </c>
      <c r="BP12" s="7">
        <f>LN(AY12/$BF12)</f>
        <v>1.5684657951345762</v>
      </c>
      <c r="BQ12" s="7">
        <f>LN(AZ12/$BF12)</f>
        <v>0.68679016726758446</v>
      </c>
      <c r="BR12" s="7">
        <f>LN(BA12/$BF12)</f>
        <v>-0.64357306769900047</v>
      </c>
      <c r="BS12" s="7">
        <f>LN(BB12/$BF12)</f>
        <v>-0.57154004846515849</v>
      </c>
      <c r="BT12" s="7">
        <f>LN(BC12/$BF12)</f>
        <v>-9.7358080778290057E-2</v>
      </c>
      <c r="BU12" s="7">
        <f>LN(BD12/$BF12)</f>
        <v>-0.57154004846515849</v>
      </c>
      <c r="BV12" s="7">
        <f t="shared" si="22"/>
        <v>-9.7358080778290057E-2</v>
      </c>
    </row>
    <row r="13" spans="1:74" x14ac:dyDescent="0.2">
      <c r="A13" s="4">
        <f t="shared" si="15"/>
        <v>0.19704544920645295</v>
      </c>
      <c r="B13" s="4">
        <f t="shared" si="1"/>
        <v>5.0905087391468637E-2</v>
      </c>
      <c r="C13" s="4">
        <f t="shared" si="2"/>
        <v>0.101249095976605</v>
      </c>
      <c r="D13" s="4">
        <f t="shared" si="3"/>
        <v>7.3553447500950289E-2</v>
      </c>
      <c r="E13" s="4">
        <f t="shared" si="4"/>
        <v>0.10684198140289608</v>
      </c>
      <c r="F13" s="4">
        <f t="shared" si="5"/>
        <v>7.7623682265791236E-2</v>
      </c>
      <c r="G13" s="4">
        <f t="shared" si="6"/>
        <v>2.1800629897858137E-2</v>
      </c>
      <c r="H13" s="4">
        <f t="shared" si="7"/>
        <v>0.10297460832228145</v>
      </c>
      <c r="I13" s="4">
        <f t="shared" si="8"/>
        <v>1.7213460224674213E-2</v>
      </c>
      <c r="J13" s="4">
        <f t="shared" si="9"/>
        <v>7.5997142511984462E-3</v>
      </c>
      <c r="K13" s="4">
        <f t="shared" si="10"/>
        <v>8.3308905249860149E-2</v>
      </c>
      <c r="L13" s="4">
        <f t="shared" si="11"/>
        <v>6.4667522924789986E-3</v>
      </c>
      <c r="M13" s="4">
        <f t="shared" si="12"/>
        <v>5.5314979115483019E-2</v>
      </c>
      <c r="N13" s="4">
        <f t="shared" si="13"/>
        <v>9.8102206902001582E-2</v>
      </c>
      <c r="O13" s="5">
        <v>1970</v>
      </c>
      <c r="P13" s="6">
        <v>13185.791999999999</v>
      </c>
      <c r="Q13" s="6">
        <v>3406.442</v>
      </c>
      <c r="R13" s="6">
        <v>6775.3379999999997</v>
      </c>
      <c r="S13" s="6">
        <v>4922.0140000000001</v>
      </c>
      <c r="T13" s="6">
        <v>7149.5999999999995</v>
      </c>
      <c r="U13" s="6">
        <v>5194.384</v>
      </c>
      <c r="V13" s="6">
        <v>1458.8440000000001</v>
      </c>
      <c r="W13" s="6">
        <v>6890.8050000000003</v>
      </c>
      <c r="X13" s="6">
        <v>1151.8820000000001</v>
      </c>
      <c r="Y13" s="6">
        <v>508.55399999999997</v>
      </c>
      <c r="Z13" s="6">
        <v>5574.8249999999998</v>
      </c>
      <c r="AA13" s="6">
        <v>432.73899999999998</v>
      </c>
      <c r="AB13" s="6">
        <v>3701.5410000000002</v>
      </c>
      <c r="AC13" s="6">
        <v>6564.7560000000003</v>
      </c>
      <c r="AD13" s="6">
        <v>66917.515999999989</v>
      </c>
      <c r="AE13" s="6">
        <v>15607.799000000001</v>
      </c>
      <c r="AF13" s="6">
        <f t="shared" si="16"/>
        <v>51309.71699999999</v>
      </c>
      <c r="AG13" s="6">
        <v>83989.2</v>
      </c>
      <c r="AH13" s="6">
        <f t="shared" si="17"/>
        <v>32679.483000000007</v>
      </c>
      <c r="AI13" s="7">
        <v>0.16324000000000002</v>
      </c>
      <c r="AJ13" s="6">
        <v>50772.226499999997</v>
      </c>
      <c r="AK13" s="4">
        <f t="shared" si="18"/>
        <v>0.23323936590832217</v>
      </c>
      <c r="AL13" s="4">
        <f t="shared" si="19"/>
        <v>0.76676063409167783</v>
      </c>
      <c r="AM13" s="6">
        <f t="shared" si="20"/>
        <v>409933.32516540051</v>
      </c>
      <c r="AN13" s="6">
        <f t="shared" si="14"/>
        <v>95612.588826268067</v>
      </c>
      <c r="AO13" s="6">
        <f t="shared" si="14"/>
        <v>314320.73633913248</v>
      </c>
      <c r="AP13" s="6">
        <f t="shared" si="14"/>
        <v>514513.59960793913</v>
      </c>
      <c r="AQ13" s="6">
        <f t="shared" si="14"/>
        <v>200192.86326880669</v>
      </c>
      <c r="AR13" s="7">
        <v>0.17571999999999999</v>
      </c>
      <c r="AS13" s="7">
        <v>0.11146</v>
      </c>
      <c r="AT13" s="7">
        <v>0.18719000000000002</v>
      </c>
      <c r="AU13" s="7">
        <v>0.11930999999999999</v>
      </c>
      <c r="AV13" s="7">
        <v>0.20873</v>
      </c>
      <c r="AW13" s="7">
        <v>0.27046999999999999</v>
      </c>
      <c r="AX13" s="7">
        <v>0.13428000000000001</v>
      </c>
      <c r="AY13" s="7">
        <v>0.77485999999999999</v>
      </c>
      <c r="AZ13" s="7">
        <v>0.32101000000000002</v>
      </c>
      <c r="BA13" s="7">
        <v>8.8900000000000007E-2</v>
      </c>
      <c r="BB13" s="7">
        <v>9.3030000000000002E-2</v>
      </c>
      <c r="BC13" s="7">
        <v>0.15184</v>
      </c>
      <c r="BD13" s="7">
        <v>9.3030000000000002E-2</v>
      </c>
      <c r="BE13" s="7">
        <v>0.15184</v>
      </c>
      <c r="BF13" s="7">
        <v>0.16324000000000002</v>
      </c>
      <c r="BG13" s="7">
        <v>-1.683553533010909</v>
      </c>
      <c r="BH13" s="7">
        <f>LN(AG13)-BG13</f>
        <v>13.021997031141773</v>
      </c>
      <c r="BI13" s="7">
        <f>LN(AR13/$BF13)</f>
        <v>7.3670308569973669E-2</v>
      </c>
      <c r="BJ13" s="7">
        <f>LN(AS13/$BF13)</f>
        <v>-0.38155572839621471</v>
      </c>
      <c r="BK13" s="7">
        <f>LN(AT13/$BF13)</f>
        <v>0.13690263327563276</v>
      </c>
      <c r="BL13" s="7">
        <f>LN(AU13/$BF13)</f>
        <v>-0.31349636264989628</v>
      </c>
      <c r="BM13" s="7">
        <f>LN(AV13/$BF13)</f>
        <v>0.24582004022020987</v>
      </c>
      <c r="BN13" s="7">
        <f>LN(AW13/$BF13)</f>
        <v>0.50493967586830646</v>
      </c>
      <c r="BO13" s="7">
        <f>LN(AX13/$BF13)</f>
        <v>-0.19529433842577087</v>
      </c>
      <c r="BP13" s="7">
        <f>LN(AY13/$BF13)</f>
        <v>1.5574608573361493</v>
      </c>
      <c r="BQ13" s="7">
        <f>LN(AZ13/$BF13)</f>
        <v>0.67625076475515222</v>
      </c>
      <c r="BR13" s="7">
        <f>LN(BA13/$BF13)</f>
        <v>-0.607709368017746</v>
      </c>
      <c r="BS13" s="7">
        <f>LN(BB13/$BF13)</f>
        <v>-0.56229948875713776</v>
      </c>
      <c r="BT13" s="7">
        <f>LN(BC13/$BF13)</f>
        <v>-7.2394175675987313E-2</v>
      </c>
      <c r="BU13" s="7">
        <f>LN(BD13/$BF13)</f>
        <v>-0.56229948875713776</v>
      </c>
      <c r="BV13" s="7">
        <f t="shared" si="22"/>
        <v>-7.2394175675987313E-2</v>
      </c>
    </row>
    <row r="14" spans="1:74" x14ac:dyDescent="0.2">
      <c r="A14" s="4">
        <f t="shared" si="15"/>
        <v>0.19067198398221366</v>
      </c>
      <c r="B14" s="4">
        <f t="shared" si="1"/>
        <v>4.9262026420729452E-2</v>
      </c>
      <c r="C14" s="4">
        <f t="shared" si="2"/>
        <v>9.7819380509810872E-2</v>
      </c>
      <c r="D14" s="4">
        <f t="shared" si="3"/>
        <v>7.5395657228257612E-2</v>
      </c>
      <c r="E14" s="4">
        <f t="shared" si="4"/>
        <v>0.10591030569568428</v>
      </c>
      <c r="F14" s="4">
        <f t="shared" si="5"/>
        <v>7.8867457822768855E-2</v>
      </c>
      <c r="G14" s="4">
        <f t="shared" si="6"/>
        <v>2.1903830386180729E-2</v>
      </c>
      <c r="H14" s="4">
        <f t="shared" si="7"/>
        <v>0.10740999262247225</v>
      </c>
      <c r="I14" s="4">
        <f t="shared" si="8"/>
        <v>1.6910878046241164E-2</v>
      </c>
      <c r="J14" s="4">
        <f t="shared" si="9"/>
        <v>8.1357015469523519E-3</v>
      </c>
      <c r="K14" s="4">
        <f t="shared" si="10"/>
        <v>8.4068006005331694E-2</v>
      </c>
      <c r="L14" s="4">
        <f t="shared" si="11"/>
        <v>6.9782339512676362E-3</v>
      </c>
      <c r="M14" s="4">
        <f t="shared" si="12"/>
        <v>5.5785096483958338E-2</v>
      </c>
      <c r="N14" s="4">
        <f t="shared" si="13"/>
        <v>0.10088144929813121</v>
      </c>
      <c r="O14" s="5">
        <v>1971</v>
      </c>
      <c r="P14" s="6">
        <v>14248.332</v>
      </c>
      <c r="Q14" s="6">
        <v>3681.2</v>
      </c>
      <c r="R14" s="6">
        <v>7309.7420000000002</v>
      </c>
      <c r="S14" s="6">
        <v>5634.0860000000002</v>
      </c>
      <c r="T14" s="6">
        <v>7914.3519999999999</v>
      </c>
      <c r="U14" s="6">
        <v>5893.5230000000001</v>
      </c>
      <c r="V14" s="6">
        <v>1636.806</v>
      </c>
      <c r="W14" s="6">
        <v>8026.4189999999999</v>
      </c>
      <c r="X14" s="6">
        <v>1263.6980000000001</v>
      </c>
      <c r="Y14" s="6">
        <v>607.95600000000002</v>
      </c>
      <c r="Z14" s="6">
        <v>6282.1440000000002</v>
      </c>
      <c r="AA14" s="6">
        <v>521.46199999999999</v>
      </c>
      <c r="AB14" s="6">
        <v>4168.6490000000003</v>
      </c>
      <c r="AC14" s="6">
        <v>7538.5609999999997</v>
      </c>
      <c r="AD14" s="6">
        <v>74726.929999999993</v>
      </c>
      <c r="AE14" s="6">
        <v>17594.249</v>
      </c>
      <c r="AF14" s="6">
        <f t="shared" si="16"/>
        <v>57132.680999999997</v>
      </c>
      <c r="AG14" s="6">
        <v>93629.1</v>
      </c>
      <c r="AH14" s="6">
        <f t="shared" si="17"/>
        <v>36496.419000000009</v>
      </c>
      <c r="AI14" s="7">
        <v>0.17247000000000001</v>
      </c>
      <c r="AJ14" s="6">
        <v>51251.093500000003</v>
      </c>
      <c r="AK14" s="4">
        <f t="shared" si="18"/>
        <v>0.23544723435045439</v>
      </c>
      <c r="AL14" s="4">
        <f t="shared" si="19"/>
        <v>0.76455276564954566</v>
      </c>
      <c r="AM14" s="6">
        <f t="shared" si="20"/>
        <v>433274.94636748411</v>
      </c>
      <c r="AN14" s="6">
        <f t="shared" si="14"/>
        <v>102013.38783556559</v>
      </c>
      <c r="AO14" s="6">
        <f t="shared" si="14"/>
        <v>331261.55853191856</v>
      </c>
      <c r="AP14" s="6">
        <f t="shared" si="14"/>
        <v>542871.80379196384</v>
      </c>
      <c r="AQ14" s="6">
        <f t="shared" si="14"/>
        <v>211610.24526004525</v>
      </c>
      <c r="AR14" s="7">
        <v>0.18484</v>
      </c>
      <c r="AS14" s="7">
        <v>0.11442000000000001</v>
      </c>
      <c r="AT14" s="7">
        <v>0.19491</v>
      </c>
      <c r="AU14" s="7">
        <v>0.12682000000000002</v>
      </c>
      <c r="AV14" s="7">
        <v>0.21737999999999999</v>
      </c>
      <c r="AW14" s="7">
        <v>0.28242</v>
      </c>
      <c r="AX14" s="7">
        <v>0.14318</v>
      </c>
      <c r="AY14" s="7">
        <v>0.84605999999999992</v>
      </c>
      <c r="AZ14" s="7">
        <v>0.33944000000000002</v>
      </c>
      <c r="BA14" s="7">
        <v>9.2449999999999991E-2</v>
      </c>
      <c r="BB14" s="7">
        <v>9.9589999999999998E-2</v>
      </c>
      <c r="BC14" s="7">
        <v>0.16356000000000001</v>
      </c>
      <c r="BD14" s="7">
        <v>9.9589999999999998E-2</v>
      </c>
      <c r="BE14" s="7">
        <v>0.16356000000000001</v>
      </c>
      <c r="BF14" s="7">
        <v>0.17247000000000001</v>
      </c>
      <c r="BG14" s="7">
        <v>-1.6217516021566998</v>
      </c>
      <c r="BH14" s="7">
        <f>LN(AG14)-BG14</f>
        <v>13.068848113739687</v>
      </c>
      <c r="BI14" s="7">
        <f>LN(AR14/$BF14)</f>
        <v>6.9267277698756444E-2</v>
      </c>
      <c r="BJ14" s="7">
        <f>LN(AS14/$BF14)</f>
        <v>-0.41034741946292658</v>
      </c>
      <c r="BK14" s="7">
        <f>LN(AT14/$BF14)</f>
        <v>0.12231460525723989</v>
      </c>
      <c r="BL14" s="7">
        <f>LN(AU14/$BF14)</f>
        <v>-0.30745455003142358</v>
      </c>
      <c r="BM14" s="7">
        <f>LN(AV14/$BF14)</f>
        <v>0.23142366583173155</v>
      </c>
      <c r="BN14" s="7">
        <f>LN(AW14/$BF14)</f>
        <v>0.49317201633779667</v>
      </c>
      <c r="BO14" s="7">
        <f>LN(AX14/$BF14)</f>
        <v>-0.18612072833527032</v>
      </c>
      <c r="BP14" s="7">
        <f>LN(AY14/$BF14)</f>
        <v>1.5903669707738843</v>
      </c>
      <c r="BQ14" s="7">
        <f>LN(AZ14/$BF14)</f>
        <v>0.67707389259076012</v>
      </c>
      <c r="BR14" s="7">
        <f>LN(BA14/$BF14)</f>
        <v>-0.62355535047017563</v>
      </c>
      <c r="BS14" s="7">
        <f>LN(BB14/$BF14)</f>
        <v>-0.54916155035976111</v>
      </c>
      <c r="BT14" s="7">
        <f>LN(BC14/$BF14)</f>
        <v>-5.3043412806867724E-2</v>
      </c>
      <c r="BU14" s="7">
        <f>LN(BD14/$BF14)</f>
        <v>-0.54916155035976111</v>
      </c>
      <c r="BV14" s="7">
        <f t="shared" si="22"/>
        <v>-5.3043412806867724E-2</v>
      </c>
    </row>
    <row r="15" spans="1:74" x14ac:dyDescent="0.2">
      <c r="A15" s="4">
        <f t="shared" si="15"/>
        <v>0.18864787675549133</v>
      </c>
      <c r="B15" s="4">
        <f t="shared" si="1"/>
        <v>4.8330439126109889E-2</v>
      </c>
      <c r="C15" s="4">
        <f t="shared" si="2"/>
        <v>9.5009335736037523E-2</v>
      </c>
      <c r="D15" s="4">
        <f t="shared" si="3"/>
        <v>7.4577196218496677E-2</v>
      </c>
      <c r="E15" s="4">
        <f t="shared" si="4"/>
        <v>0.10621993804262778</v>
      </c>
      <c r="F15" s="4">
        <f t="shared" si="5"/>
        <v>7.9597664236019952E-2</v>
      </c>
      <c r="G15" s="4">
        <f t="shared" si="6"/>
        <v>2.1997654174788311E-2</v>
      </c>
      <c r="H15" s="4">
        <f t="shared" si="7"/>
        <v>0.11037607556465896</v>
      </c>
      <c r="I15" s="4">
        <f t="shared" si="8"/>
        <v>1.7075489969235812E-2</v>
      </c>
      <c r="J15" s="4">
        <f t="shared" si="9"/>
        <v>8.0629084760249544E-3</v>
      </c>
      <c r="K15" s="4">
        <f t="shared" si="10"/>
        <v>8.6944659811338434E-2</v>
      </c>
      <c r="L15" s="4">
        <f t="shared" si="11"/>
        <v>7.1504240217580388E-3</v>
      </c>
      <c r="M15" s="4">
        <f t="shared" si="12"/>
        <v>5.5736313586851681E-2</v>
      </c>
      <c r="N15" s="4">
        <f t="shared" si="13"/>
        <v>0.10027402428056061</v>
      </c>
      <c r="O15" s="5">
        <v>1972</v>
      </c>
      <c r="P15" s="6">
        <v>15689.982</v>
      </c>
      <c r="Q15" s="6">
        <v>4019.6779999999999</v>
      </c>
      <c r="R15" s="6">
        <v>7901.9960000000001</v>
      </c>
      <c r="S15" s="6">
        <v>6202.6400000000012</v>
      </c>
      <c r="T15" s="6">
        <v>8834.39</v>
      </c>
      <c r="U15" s="6">
        <v>6620.1959999999999</v>
      </c>
      <c r="V15" s="6">
        <v>1829.5609999999999</v>
      </c>
      <c r="W15" s="6">
        <v>9180.0589999999993</v>
      </c>
      <c r="X15" s="6">
        <v>1420.181</v>
      </c>
      <c r="Y15" s="6">
        <v>670.59799999999996</v>
      </c>
      <c r="Z15" s="6">
        <v>7231.2510000000002</v>
      </c>
      <c r="AA15" s="6">
        <v>594.70600000000002</v>
      </c>
      <c r="AB15" s="6">
        <v>4635.63</v>
      </c>
      <c r="AC15" s="6">
        <v>8339.8639999999996</v>
      </c>
      <c r="AD15" s="6">
        <v>83170.732000000004</v>
      </c>
      <c r="AE15" s="6">
        <v>19514.217000000001</v>
      </c>
      <c r="AF15" s="6">
        <f t="shared" si="16"/>
        <v>63656.514999999999</v>
      </c>
      <c r="AG15" s="6">
        <v>104922.5</v>
      </c>
      <c r="AH15" s="6">
        <f t="shared" si="17"/>
        <v>41265.985000000001</v>
      </c>
      <c r="AI15" s="7">
        <v>0.18257999999999999</v>
      </c>
      <c r="AJ15" s="6">
        <v>51700.913</v>
      </c>
      <c r="AK15" s="4">
        <f t="shared" si="18"/>
        <v>0.23462841471685014</v>
      </c>
      <c r="AL15" s="4">
        <f t="shared" si="19"/>
        <v>0.76537158528314986</v>
      </c>
      <c r="AM15" s="6">
        <f t="shared" si="20"/>
        <v>455530.35381750471</v>
      </c>
      <c r="AN15" s="6">
        <f t="shared" si="14"/>
        <v>106880.36477160697</v>
      </c>
      <c r="AO15" s="6">
        <f t="shared" si="14"/>
        <v>348649.98904589767</v>
      </c>
      <c r="AP15" s="6">
        <f t="shared" si="14"/>
        <v>574665.89987950493</v>
      </c>
      <c r="AQ15" s="6">
        <f t="shared" si="14"/>
        <v>226015.91083360719</v>
      </c>
      <c r="AR15" s="7">
        <v>0.19841999999999999</v>
      </c>
      <c r="AS15" s="7">
        <v>0.12121</v>
      </c>
      <c r="AT15" s="7">
        <v>0.20487</v>
      </c>
      <c r="AU15" s="7">
        <v>0.13289000000000001</v>
      </c>
      <c r="AV15" s="7">
        <v>0.22582999999999998</v>
      </c>
      <c r="AW15" s="7">
        <v>0.29469999999999996</v>
      </c>
      <c r="AX15" s="7">
        <v>0.14920999999999998</v>
      </c>
      <c r="AY15" s="7">
        <v>0.84652000000000005</v>
      </c>
      <c r="AZ15" s="7">
        <v>0.3629</v>
      </c>
      <c r="BA15" s="7">
        <v>9.7820000000000004E-2</v>
      </c>
      <c r="BB15" s="7">
        <v>0.10811</v>
      </c>
      <c r="BC15" s="7">
        <v>0.17671000000000001</v>
      </c>
      <c r="BD15" s="7">
        <v>0.10811</v>
      </c>
      <c r="BE15" s="7">
        <v>0.17671000000000001</v>
      </c>
      <c r="BF15" s="7">
        <v>0.18257999999999999</v>
      </c>
      <c r="BG15" s="7">
        <v>-1.5634390115263987</v>
      </c>
      <c r="BH15" s="7">
        <f>LN(AG15)-BG15</f>
        <v>13.124416272901565</v>
      </c>
      <c r="BI15" s="7">
        <f>LN(AR15/$BF15)</f>
        <v>8.3197563084821749E-2</v>
      </c>
      <c r="BJ15" s="7">
        <f>LN(AS15/$BF15)</f>
        <v>-0.40966385465451399</v>
      </c>
      <c r="BK15" s="7">
        <f>LN(AT15/$BF15)</f>
        <v>0.11518719850417294</v>
      </c>
      <c r="BL15" s="7">
        <f>LN(AU15/$BF15)</f>
        <v>-0.31766671479351827</v>
      </c>
      <c r="BM15" s="7">
        <f>LN(AV15/$BF15)</f>
        <v>0.21259407069227795</v>
      </c>
      <c r="BN15" s="7">
        <f>LN(AW15/$BF15)</f>
        <v>0.47876945660671422</v>
      </c>
      <c r="BO15" s="7">
        <f>LN(AX15/$BF15)</f>
        <v>-0.20183372348460452</v>
      </c>
      <c r="BP15" s="7">
        <f>LN(AY15/$BF15)</f>
        <v>1.5339453948553183</v>
      </c>
      <c r="BQ15" s="7">
        <f>LN(AZ15/$BF15)</f>
        <v>0.68693888108209</v>
      </c>
      <c r="BR15" s="7">
        <f>LN(BA15/$BF15)</f>
        <v>-0.62405937802572342</v>
      </c>
      <c r="BS15" s="7">
        <f>LN(BB15/$BF15)</f>
        <v>-0.52403920583225461</v>
      </c>
      <c r="BT15" s="7">
        <f>LN(BC15/$BF15)</f>
        <v>-3.2678462316970427E-2</v>
      </c>
      <c r="BU15" s="7">
        <f>LN(BD15/$BF15)</f>
        <v>-0.52403920583225461</v>
      </c>
      <c r="BV15" s="7">
        <f t="shared" si="22"/>
        <v>-3.2678462316970427E-2</v>
      </c>
    </row>
    <row r="16" spans="1:74" x14ac:dyDescent="0.2">
      <c r="A16" s="4">
        <f t="shared" si="15"/>
        <v>0.18462269699875292</v>
      </c>
      <c r="B16" s="4">
        <f t="shared" si="1"/>
        <v>4.8878016468825954E-2</v>
      </c>
      <c r="C16" s="4">
        <f t="shared" si="2"/>
        <v>9.1357236347589771E-2</v>
      </c>
      <c r="D16" s="4">
        <f t="shared" si="3"/>
        <v>7.4449839897486256E-2</v>
      </c>
      <c r="E16" s="4">
        <f t="shared" si="4"/>
        <v>0.10413157288789823</v>
      </c>
      <c r="F16" s="4">
        <f t="shared" si="5"/>
        <v>8.0751581470108524E-2</v>
      </c>
      <c r="G16" s="4">
        <f t="shared" si="6"/>
        <v>2.2157944280556108E-2</v>
      </c>
      <c r="H16" s="4">
        <f t="shared" si="7"/>
        <v>0.1107318455326721</v>
      </c>
      <c r="I16" s="4">
        <f t="shared" si="8"/>
        <v>1.6577732517796245E-2</v>
      </c>
      <c r="J16" s="4">
        <f t="shared" si="9"/>
        <v>8.30346011925788E-3</v>
      </c>
      <c r="K16" s="4">
        <f t="shared" si="10"/>
        <v>8.7155522581958092E-2</v>
      </c>
      <c r="L16" s="4">
        <f t="shared" si="11"/>
        <v>6.5347756545795447E-3</v>
      </c>
      <c r="M16" s="4">
        <f t="shared" si="12"/>
        <v>5.5046648854787453E-2</v>
      </c>
      <c r="N16" s="4">
        <f t="shared" si="13"/>
        <v>0.10930112638773075</v>
      </c>
      <c r="O16" s="5">
        <v>1973</v>
      </c>
      <c r="P16" s="6">
        <v>17369.424999999999</v>
      </c>
      <c r="Q16" s="6">
        <v>4598.4759999999997</v>
      </c>
      <c r="R16" s="6">
        <v>8594.9490000000005</v>
      </c>
      <c r="S16" s="6">
        <v>7004.29</v>
      </c>
      <c r="T16" s="6">
        <v>9796.7669999999998</v>
      </c>
      <c r="U16" s="6">
        <v>7597.1620000000003</v>
      </c>
      <c r="V16" s="6">
        <v>2084.634</v>
      </c>
      <c r="W16" s="6">
        <v>10417.724999999999</v>
      </c>
      <c r="X16" s="6">
        <v>1559.644</v>
      </c>
      <c r="Y16" s="6">
        <v>781.19500000000005</v>
      </c>
      <c r="Z16" s="6">
        <v>8199.6489999999994</v>
      </c>
      <c r="AA16" s="6">
        <v>614.79600000000005</v>
      </c>
      <c r="AB16" s="6">
        <v>5178.8249999999998</v>
      </c>
      <c r="AC16" s="6">
        <v>10283.121999999999</v>
      </c>
      <c r="AD16" s="6">
        <v>94080.659000000014</v>
      </c>
      <c r="AE16" s="6">
        <v>22535.498</v>
      </c>
      <c r="AF16" s="6">
        <f t="shared" si="16"/>
        <v>71545.161000000022</v>
      </c>
      <c r="AG16" s="6">
        <v>118923.4</v>
      </c>
      <c r="AH16" s="6">
        <f t="shared" si="17"/>
        <v>47378.238999999972</v>
      </c>
      <c r="AI16" s="7">
        <v>0.19585999999999998</v>
      </c>
      <c r="AJ16" s="6">
        <v>52118.298999999999</v>
      </c>
      <c r="AK16" s="4">
        <f t="shared" si="18"/>
        <v>0.23953380258529011</v>
      </c>
      <c r="AL16" s="4">
        <f t="shared" si="19"/>
        <v>0.76046619741471</v>
      </c>
      <c r="AM16" s="6">
        <f t="shared" si="20"/>
        <v>480346.46686408675</v>
      </c>
      <c r="AN16" s="6">
        <f t="shared" si="14"/>
        <v>115059.21576636373</v>
      </c>
      <c r="AO16" s="6">
        <f t="shared" si="14"/>
        <v>365287.25109772303</v>
      </c>
      <c r="AP16" s="6">
        <f t="shared" si="14"/>
        <v>607185.74491984071</v>
      </c>
      <c r="AQ16" s="6">
        <f t="shared" si="14"/>
        <v>241898.49382211771</v>
      </c>
      <c r="AR16" s="7">
        <v>0.21368999999999999</v>
      </c>
      <c r="AS16" s="7">
        <v>0.13466</v>
      </c>
      <c r="AT16" s="7">
        <v>0.22097999999999998</v>
      </c>
      <c r="AU16" s="7">
        <v>0.14227000000000001</v>
      </c>
      <c r="AV16" s="7">
        <v>0.2364</v>
      </c>
      <c r="AW16" s="7">
        <v>0.31015999999999999</v>
      </c>
      <c r="AX16" s="7">
        <v>0.15622</v>
      </c>
      <c r="AY16" s="7">
        <v>0.89721999999999991</v>
      </c>
      <c r="AZ16" s="7">
        <v>0.38329999999999997</v>
      </c>
      <c r="BA16" s="7">
        <v>0.10417</v>
      </c>
      <c r="BB16" s="7">
        <v>0.11930999999999999</v>
      </c>
      <c r="BC16" s="7">
        <v>0.19486000000000001</v>
      </c>
      <c r="BD16" s="7">
        <v>0.11930999999999999</v>
      </c>
      <c r="BE16" s="7">
        <v>0.19486000000000001</v>
      </c>
      <c r="BF16" s="7">
        <v>0.19585999999999998</v>
      </c>
      <c r="BG16" s="7">
        <v>-1.4903255278574794</v>
      </c>
      <c r="BH16" s="7">
        <f>LN(AG16)-BG16</f>
        <v>13.176560395209984</v>
      </c>
      <c r="BI16" s="7">
        <f>LN(AR16/$BF16)</f>
        <v>8.7126248365723843E-2</v>
      </c>
      <c r="BJ16" s="7">
        <f>LN(AS16/$BF16)</f>
        <v>-0.37464703517551345</v>
      </c>
      <c r="BK16" s="7">
        <f>LN(AT16/$BF16)</f>
        <v>0.12067208139238057</v>
      </c>
      <c r="BL16" s="7">
        <f>LN(AU16/$BF16)</f>
        <v>-0.31967345762957272</v>
      </c>
      <c r="BM16" s="7">
        <f>LN(AV16/$BF16)</f>
        <v>0.18812516723929487</v>
      </c>
      <c r="BN16" s="7">
        <f>LN(AW16/$BF16)</f>
        <v>0.4596881750700253</v>
      </c>
      <c r="BO16" s="7">
        <f>LN(AX16/$BF16)</f>
        <v>-0.22613484811049708</v>
      </c>
      <c r="BP16" s="7">
        <f>LN(AY16/$BF16)</f>
        <v>1.5219009756787365</v>
      </c>
      <c r="BQ16" s="7">
        <f>LN(AZ16/$BF16)</f>
        <v>0.67141785409386101</v>
      </c>
      <c r="BR16" s="7">
        <f>LN(BA16/$BF16)</f>
        <v>-0.63137593829629091</v>
      </c>
      <c r="BS16" s="7">
        <f>LN(BB16/$BF16)</f>
        <v>-0.49567497040493952</v>
      </c>
      <c r="BT16" s="7">
        <f>LN(BC16/$BF16)</f>
        <v>-5.1187662954531379E-3</v>
      </c>
      <c r="BU16" s="7">
        <f>LN(BD16/$BF16)</f>
        <v>-0.49567497040493952</v>
      </c>
      <c r="BV16" s="7">
        <f t="shared" si="22"/>
        <v>-5.1187662954531379E-3</v>
      </c>
    </row>
    <row r="17" spans="1:74" x14ac:dyDescent="0.2">
      <c r="A17" s="4">
        <f t="shared" si="15"/>
        <v>0.18116059493976994</v>
      </c>
      <c r="B17" s="4">
        <f t="shared" si="1"/>
        <v>4.573554422898557E-2</v>
      </c>
      <c r="C17" s="4">
        <f t="shared" si="2"/>
        <v>8.8412298114748517E-2</v>
      </c>
      <c r="D17" s="4">
        <f t="shared" si="3"/>
        <v>8.3401381875765845E-2</v>
      </c>
      <c r="E17" s="4">
        <f t="shared" si="4"/>
        <v>9.354736215612347E-2</v>
      </c>
      <c r="F17" s="4">
        <f t="shared" si="5"/>
        <v>8.1832012648378791E-2</v>
      </c>
      <c r="G17" s="4">
        <f t="shared" si="6"/>
        <v>2.1519401341309672E-2</v>
      </c>
      <c r="H17" s="4">
        <f t="shared" si="7"/>
        <v>0.10893642907606432</v>
      </c>
      <c r="I17" s="4">
        <f t="shared" si="8"/>
        <v>1.6381960097748387E-2</v>
      </c>
      <c r="J17" s="4">
        <f t="shared" si="9"/>
        <v>8.7249285840557637E-3</v>
      </c>
      <c r="K17" s="4">
        <f t="shared" si="10"/>
        <v>8.7814454361866842E-2</v>
      </c>
      <c r="L17" s="4">
        <f t="shared" si="11"/>
        <v>6.3380639295289535E-3</v>
      </c>
      <c r="M17" s="4">
        <f t="shared" si="12"/>
        <v>5.3588699442445764E-2</v>
      </c>
      <c r="N17" s="4">
        <f t="shared" si="13"/>
        <v>0.1226068692032083</v>
      </c>
      <c r="O17" s="5">
        <v>1974</v>
      </c>
      <c r="P17" s="6">
        <v>20042.567999999999</v>
      </c>
      <c r="Q17" s="6">
        <v>5059.9179999999997</v>
      </c>
      <c r="R17" s="6">
        <v>9781.4290000000001</v>
      </c>
      <c r="S17" s="6">
        <v>9227.0500000000011</v>
      </c>
      <c r="T17" s="6">
        <v>10349.543</v>
      </c>
      <c r="U17" s="6">
        <v>9053.4240000000009</v>
      </c>
      <c r="V17" s="6">
        <v>2380.7829999999999</v>
      </c>
      <c r="W17" s="6">
        <v>12052.101000000001</v>
      </c>
      <c r="X17" s="6">
        <v>1812.4059999999999</v>
      </c>
      <c r="Y17" s="6">
        <v>965.27599999999995</v>
      </c>
      <c r="Z17" s="6">
        <v>9715.2870000000003</v>
      </c>
      <c r="AA17" s="6">
        <v>701.20699999999999</v>
      </c>
      <c r="AB17" s="6">
        <v>5928.7460000000001</v>
      </c>
      <c r="AC17" s="6">
        <v>13564.52</v>
      </c>
      <c r="AD17" s="6">
        <v>110634.25799999999</v>
      </c>
      <c r="AE17" s="6">
        <v>27581.79</v>
      </c>
      <c r="AF17" s="6">
        <f t="shared" si="16"/>
        <v>83052.467999999993</v>
      </c>
      <c r="AG17" s="6">
        <v>140846.39999999999</v>
      </c>
      <c r="AH17" s="6">
        <f t="shared" si="17"/>
        <v>57793.932000000001</v>
      </c>
      <c r="AI17" s="7">
        <v>0.22402999999999998</v>
      </c>
      <c r="AJ17" s="6">
        <v>52460.362500000003</v>
      </c>
      <c r="AK17" s="4">
        <f t="shared" si="18"/>
        <v>0.24930605129561229</v>
      </c>
      <c r="AL17" s="4">
        <f t="shared" si="19"/>
        <v>0.75069394870438777</v>
      </c>
      <c r="AM17" s="6">
        <f t="shared" si="20"/>
        <v>493836.79864303884</v>
      </c>
      <c r="AN17" s="6">
        <f t="shared" si="14"/>
        <v>123116.50225416241</v>
      </c>
      <c r="AO17" s="6">
        <f t="shared" si="14"/>
        <v>370720.29638887651</v>
      </c>
      <c r="AP17" s="6">
        <f t="shared" si="14"/>
        <v>628694.37128955952</v>
      </c>
      <c r="AQ17" s="6">
        <f t="shared" si="14"/>
        <v>257974.07490068296</v>
      </c>
      <c r="AR17" s="7">
        <v>0.24217</v>
      </c>
      <c r="AS17" s="7">
        <v>0.14371</v>
      </c>
      <c r="AT17" s="7">
        <v>0.25129000000000001</v>
      </c>
      <c r="AU17" s="7">
        <v>0.16172</v>
      </c>
      <c r="AV17" s="7">
        <v>0.27188000000000001</v>
      </c>
      <c r="AW17" s="7">
        <v>0.33657999999999999</v>
      </c>
      <c r="AX17" s="7">
        <v>0.18812000000000001</v>
      </c>
      <c r="AY17" s="7">
        <v>0.98931999999999998</v>
      </c>
      <c r="AZ17" s="7">
        <v>0.43522</v>
      </c>
      <c r="BA17" s="7">
        <v>0.11501</v>
      </c>
      <c r="BB17" s="7">
        <v>0.13573000000000002</v>
      </c>
      <c r="BC17" s="7">
        <v>0.22755</v>
      </c>
      <c r="BD17" s="7">
        <v>0.13573000000000002</v>
      </c>
      <c r="BE17" s="7">
        <v>0.22755</v>
      </c>
      <c r="BF17" s="7">
        <v>0.22402999999999998</v>
      </c>
      <c r="BG17" s="7">
        <v>-1.3735363989306679</v>
      </c>
      <c r="BH17" s="7">
        <f>LN(AG17)-BG17</f>
        <v>13.228961612803115</v>
      </c>
      <c r="BI17" s="7">
        <f>LN(AR17/$BF17)</f>
        <v>7.7859987413572349E-2</v>
      </c>
      <c r="BJ17" s="7">
        <f>LN(AS17/$BF17)</f>
        <v>-0.44398259137268231</v>
      </c>
      <c r="BK17" s="7">
        <f>LN(AT17/$BF17)</f>
        <v>0.11482767922293841</v>
      </c>
      <c r="BL17" s="7">
        <f>LN(AU17/$BF17)</f>
        <v>-0.32591352668626777</v>
      </c>
      <c r="BM17" s="7">
        <f>LN(AV17/$BF17)</f>
        <v>0.19358082101959964</v>
      </c>
      <c r="BN17" s="7">
        <f>LN(AW17/$BF17)</f>
        <v>0.40705589082608928</v>
      </c>
      <c r="BO17" s="7">
        <f>LN(AX17/$BF17)</f>
        <v>-0.17469991438199065</v>
      </c>
      <c r="BP17" s="7">
        <f>LN(AY17/$BF17)</f>
        <v>1.4852378669805579</v>
      </c>
      <c r="BQ17" s="7">
        <f>LN(AZ17/$BF17)</f>
        <v>0.66407167890930863</v>
      </c>
      <c r="BR17" s="7">
        <f>LN(BA17/$BF17)</f>
        <v>-0.66676089035434782</v>
      </c>
      <c r="BS17" s="7">
        <f>LN(BB17/$BF17)</f>
        <v>-0.50111235314896407</v>
      </c>
      <c r="BT17" s="7">
        <f>LN(BC17/$BF17)</f>
        <v>1.5590023003812976E-2</v>
      </c>
      <c r="BU17" s="7">
        <f>LN(BD17/$BF17)</f>
        <v>-0.50111235314896407</v>
      </c>
      <c r="BV17" s="7">
        <f t="shared" si="22"/>
        <v>1.5590023003812976E-2</v>
      </c>
    </row>
    <row r="18" spans="1:74" x14ac:dyDescent="0.2">
      <c r="A18" s="4">
        <f t="shared" si="15"/>
        <v>0.17989136577538545</v>
      </c>
      <c r="B18" s="4">
        <f t="shared" si="1"/>
        <v>4.3882627794791754E-2</v>
      </c>
      <c r="C18" s="4">
        <f t="shared" si="2"/>
        <v>8.8986269477264165E-2</v>
      </c>
      <c r="D18" s="4">
        <f t="shared" si="3"/>
        <v>8.5253030608013855E-2</v>
      </c>
      <c r="E18" s="4">
        <f t="shared" si="4"/>
        <v>9.3152272059098998E-2</v>
      </c>
      <c r="F18" s="4">
        <f t="shared" si="5"/>
        <v>7.9883118952991689E-2</v>
      </c>
      <c r="G18" s="4">
        <f t="shared" si="6"/>
        <v>2.2818616260987561E-2</v>
      </c>
      <c r="H18" s="4">
        <f t="shared" si="7"/>
        <v>0.11273029985731965</v>
      </c>
      <c r="I18" s="4">
        <f t="shared" si="8"/>
        <v>1.6631856450999429E-2</v>
      </c>
      <c r="J18" s="4">
        <f t="shared" si="9"/>
        <v>1.1215059348547067E-2</v>
      </c>
      <c r="K18" s="4">
        <f t="shared" si="10"/>
        <v>8.9819936705042847E-2</v>
      </c>
      <c r="L18" s="4">
        <f t="shared" si="11"/>
        <v>5.8171926324365065E-3</v>
      </c>
      <c r="M18" s="4">
        <f t="shared" si="12"/>
        <v>5.5177242389587829E-2</v>
      </c>
      <c r="N18" s="4">
        <f t="shared" si="13"/>
        <v>0.11474111168753322</v>
      </c>
      <c r="O18" s="5">
        <v>1975</v>
      </c>
      <c r="P18" s="6">
        <v>22664.138999999999</v>
      </c>
      <c r="Q18" s="6">
        <v>5528.6809999999996</v>
      </c>
      <c r="R18" s="6">
        <v>11211.195</v>
      </c>
      <c r="S18" s="6">
        <v>10740.852000000001</v>
      </c>
      <c r="T18" s="6">
        <v>11736.061</v>
      </c>
      <c r="U18" s="6">
        <v>10064.308000000001</v>
      </c>
      <c r="V18" s="6">
        <v>2874.87</v>
      </c>
      <c r="W18" s="6">
        <v>14202.655999999999</v>
      </c>
      <c r="X18" s="6">
        <v>2095.413</v>
      </c>
      <c r="Y18" s="6">
        <v>1412.962</v>
      </c>
      <c r="Z18" s="6">
        <v>11316.227000000001</v>
      </c>
      <c r="AA18" s="6">
        <v>732.89599999999996</v>
      </c>
      <c r="AB18" s="6">
        <v>6951.6660000000002</v>
      </c>
      <c r="AC18" s="6">
        <v>14455.994000000001</v>
      </c>
      <c r="AD18" s="6">
        <v>125987.92</v>
      </c>
      <c r="AE18" s="6">
        <v>30720.128000000001</v>
      </c>
      <c r="AF18" s="6">
        <f t="shared" si="16"/>
        <v>95267.792000000001</v>
      </c>
      <c r="AG18" s="6">
        <v>162035.5</v>
      </c>
      <c r="AH18" s="6">
        <f t="shared" si="17"/>
        <v>66767.707999999999</v>
      </c>
      <c r="AI18" s="7">
        <v>0.25014999999999998</v>
      </c>
      <c r="AJ18" s="6">
        <v>52699.169000000002</v>
      </c>
      <c r="AK18" s="4">
        <f t="shared" si="18"/>
        <v>0.24383391677551308</v>
      </c>
      <c r="AL18" s="4">
        <f t="shared" si="19"/>
        <v>0.75616608322448697</v>
      </c>
      <c r="AM18" s="6">
        <f t="shared" si="20"/>
        <v>503649.49030581652</v>
      </c>
      <c r="AN18" s="6">
        <f t="shared" ref="AN18:AN59" si="23">AE18/$AI18</f>
        <v>122806.82790325806</v>
      </c>
      <c r="AO18" s="6">
        <f t="shared" ref="AO18:AO59" si="24">AF18/$AI18</f>
        <v>380842.66240255849</v>
      </c>
      <c r="AP18" s="6">
        <f t="shared" ref="AP18:AP59" si="25">AG18/$AI18</f>
        <v>647753.34799120529</v>
      </c>
      <c r="AQ18" s="6">
        <f t="shared" ref="AQ18:AQ59" si="26">AH18/$AI18</f>
        <v>266910.6855886468</v>
      </c>
      <c r="AR18" s="7">
        <v>0.27063999999999999</v>
      </c>
      <c r="AS18" s="7">
        <v>0.15148999999999999</v>
      </c>
      <c r="AT18" s="7">
        <v>0.28364</v>
      </c>
      <c r="AU18" s="7">
        <v>0.17859000000000003</v>
      </c>
      <c r="AV18" s="7">
        <v>0.30482999999999999</v>
      </c>
      <c r="AW18" s="7">
        <v>0.37006999999999995</v>
      </c>
      <c r="AX18" s="7">
        <v>0.21158000000000002</v>
      </c>
      <c r="AY18" s="7">
        <v>1.0770999999999999</v>
      </c>
      <c r="AZ18" s="7">
        <v>0.49134</v>
      </c>
      <c r="BA18" s="7">
        <v>0.13502</v>
      </c>
      <c r="BB18" s="7">
        <v>0.15414</v>
      </c>
      <c r="BC18" s="7">
        <v>0.25555</v>
      </c>
      <c r="BD18" s="7">
        <v>0.15414</v>
      </c>
      <c r="BE18" s="7">
        <v>0.25555</v>
      </c>
      <c r="BF18" s="7">
        <v>0.25014999999999998</v>
      </c>
      <c r="BG18" s="7">
        <v>-1.2639466502706034</v>
      </c>
      <c r="BH18" s="7">
        <f>LN(AG18)-BG18</f>
        <v>13.259517376280851</v>
      </c>
      <c r="BI18" s="7">
        <f>LN(AR18/$BF18)</f>
        <v>7.8728786538239115E-2</v>
      </c>
      <c r="BJ18" s="7">
        <f>LN(AS18/$BF18)</f>
        <v>-0.5015411217639818</v>
      </c>
      <c r="BK18" s="7">
        <f>LN(AT18/$BF18)</f>
        <v>0.12564509050158204</v>
      </c>
      <c r="BL18" s="7">
        <f>LN(AU18/$BF18)</f>
        <v>-0.33696806210080532</v>
      </c>
      <c r="BM18" s="7">
        <f>LN(AV18/$BF18)</f>
        <v>0.19769350623168563</v>
      </c>
      <c r="BN18" s="7">
        <f>LN(AW18/$BF18)</f>
        <v>0.39163143899922748</v>
      </c>
      <c r="BO18" s="7">
        <f>LN(AX18/$BF18)</f>
        <v>-0.16745756037558535</v>
      </c>
      <c r="BP18" s="7">
        <f>LN(AY18/$BF18)</f>
        <v>1.4599667854225105</v>
      </c>
      <c r="BQ18" s="7">
        <f>LN(AZ18/$BF18)</f>
        <v>0.6750756145759379</v>
      </c>
      <c r="BR18" s="7">
        <f>LN(BA18/$BF18)</f>
        <v>-0.61663782232048958</v>
      </c>
      <c r="BS18" s="7">
        <f>LN(BB18/$BF18)</f>
        <v>-0.48419945758436689</v>
      </c>
      <c r="BT18" s="7">
        <f>LN(BC18/$BF18)</f>
        <v>2.1357347280074677E-2</v>
      </c>
      <c r="BU18" s="7">
        <f>LN(BD18/$BF18)</f>
        <v>-0.48419945758436689</v>
      </c>
      <c r="BV18" s="7">
        <f t="shared" si="22"/>
        <v>2.1357347280074677E-2</v>
      </c>
    </row>
    <row r="19" spans="1:74" x14ac:dyDescent="0.2">
      <c r="A19" s="4">
        <f t="shared" si="15"/>
        <v>0.17404200580303</v>
      </c>
      <c r="B19" s="4">
        <f t="shared" si="1"/>
        <v>4.1563788881507933E-2</v>
      </c>
      <c r="C19" s="4">
        <f t="shared" si="2"/>
        <v>8.559119502318456E-2</v>
      </c>
      <c r="D19" s="4">
        <f t="shared" si="3"/>
        <v>8.591506384767926E-2</v>
      </c>
      <c r="E19" s="4">
        <f t="shared" si="4"/>
        <v>9.4071400018791093E-2</v>
      </c>
      <c r="F19" s="4">
        <f t="shared" si="5"/>
        <v>7.7920345971730975E-2</v>
      </c>
      <c r="G19" s="4">
        <f t="shared" si="6"/>
        <v>2.2033635627395923E-2</v>
      </c>
      <c r="H19" s="4">
        <f t="shared" si="7"/>
        <v>0.12366931200772666</v>
      </c>
      <c r="I19" s="4">
        <f t="shared" si="8"/>
        <v>1.6872110243166604E-2</v>
      </c>
      <c r="J19" s="4">
        <f t="shared" si="9"/>
        <v>1.323690122132797E-2</v>
      </c>
      <c r="K19" s="4">
        <f t="shared" si="10"/>
        <v>9.0224488760333371E-2</v>
      </c>
      <c r="L19" s="4">
        <f t="shared" si="11"/>
        <v>4.654906524728079E-3</v>
      </c>
      <c r="M19" s="4">
        <f t="shared" si="12"/>
        <v>5.5727098705442804E-2</v>
      </c>
      <c r="N19" s="4">
        <f t="shared" si="13"/>
        <v>0.11447774736395461</v>
      </c>
      <c r="O19" s="5">
        <v>1976</v>
      </c>
      <c r="P19" s="6">
        <v>25325.845000000001</v>
      </c>
      <c r="Q19" s="6">
        <v>6048.1840000000002</v>
      </c>
      <c r="R19" s="6">
        <v>12454.862999999999</v>
      </c>
      <c r="S19" s="6">
        <v>12501.990999999998</v>
      </c>
      <c r="T19" s="6">
        <v>13688.866000000002</v>
      </c>
      <c r="U19" s="6">
        <v>11338.634</v>
      </c>
      <c r="V19" s="6">
        <v>3206.24</v>
      </c>
      <c r="W19" s="6">
        <v>17995.827000000001</v>
      </c>
      <c r="X19" s="6">
        <v>2455.1570000000002</v>
      </c>
      <c r="Y19" s="6">
        <v>1926.1769999999999</v>
      </c>
      <c r="Z19" s="6">
        <v>13129.08</v>
      </c>
      <c r="AA19" s="6">
        <v>677.36199999999997</v>
      </c>
      <c r="AB19" s="6">
        <v>8109.1679999999997</v>
      </c>
      <c r="AC19" s="6">
        <v>16658.310000000001</v>
      </c>
      <c r="AD19" s="6">
        <v>145515.70400000003</v>
      </c>
      <c r="AE19" s="6">
        <v>36031.892999999996</v>
      </c>
      <c r="AF19" s="6">
        <f t="shared" si="16"/>
        <v>109483.81100000003</v>
      </c>
      <c r="AG19" s="6">
        <v>181938.6</v>
      </c>
      <c r="AH19" s="6">
        <f t="shared" si="17"/>
        <v>72454.788999999975</v>
      </c>
      <c r="AI19" s="7">
        <v>0.27426</v>
      </c>
      <c r="AJ19" s="6">
        <v>52908.671499999997</v>
      </c>
      <c r="AK19" s="4">
        <f t="shared" si="18"/>
        <v>0.24761515087058913</v>
      </c>
      <c r="AL19" s="4">
        <f t="shared" si="19"/>
        <v>0.75238484912941084</v>
      </c>
      <c r="AM19" s="6">
        <f t="shared" si="20"/>
        <v>530575.74564282072</v>
      </c>
      <c r="AN19" s="6">
        <f t="shared" si="23"/>
        <v>131378.59330562237</v>
      </c>
      <c r="AO19" s="6">
        <f t="shared" si="24"/>
        <v>399197.15233719838</v>
      </c>
      <c r="AP19" s="6">
        <f t="shared" si="25"/>
        <v>663380.00437541015</v>
      </c>
      <c r="AQ19" s="6">
        <f t="shared" si="26"/>
        <v>264182.85203821183</v>
      </c>
      <c r="AR19" s="7">
        <v>0.29746</v>
      </c>
      <c r="AS19" s="7">
        <v>0.16422999999999999</v>
      </c>
      <c r="AT19" s="7">
        <v>0.30893999999999999</v>
      </c>
      <c r="AU19" s="7">
        <v>0.19902</v>
      </c>
      <c r="AV19" s="7">
        <v>0.32237000000000005</v>
      </c>
      <c r="AW19" s="7">
        <v>0.39637999999999995</v>
      </c>
      <c r="AX19" s="7">
        <v>0.23521</v>
      </c>
      <c r="AY19" s="7">
        <v>1.1834499999999999</v>
      </c>
      <c r="AZ19" s="7">
        <v>0.52949000000000002</v>
      </c>
      <c r="BA19" s="7">
        <v>0.15337999999999999</v>
      </c>
      <c r="BB19" s="7">
        <v>0.17495000000000002</v>
      </c>
      <c r="BC19" s="7">
        <v>0.27688000000000001</v>
      </c>
      <c r="BD19" s="7">
        <v>0.17495000000000002</v>
      </c>
      <c r="BE19" s="7">
        <v>0.27688000000000001</v>
      </c>
      <c r="BF19" s="7">
        <v>0.27426</v>
      </c>
      <c r="BG19" s="7">
        <v>-1.157960560164137</v>
      </c>
      <c r="BH19" s="7">
        <f>LN(AG19)-BG19</f>
        <v>13.26938510666613</v>
      </c>
      <c r="BI19" s="7">
        <f>LN(AR19/$BF19)</f>
        <v>8.1203200592743788E-2</v>
      </c>
      <c r="BJ19" s="7">
        <f>LN(AS19/$BF19)</f>
        <v>-0.51280867722223844</v>
      </c>
      <c r="BK19" s="7">
        <f>LN(AT19/$BF19)</f>
        <v>0.11907052171439696</v>
      </c>
      <c r="BL19" s="7">
        <f>LN(AU19/$BF19)</f>
        <v>-0.320671239384692</v>
      </c>
      <c r="BM19" s="7">
        <f>LN(AV19/$BF19)</f>
        <v>0.16162339262196809</v>
      </c>
      <c r="BN19" s="7">
        <f>LN(AW19/$BF19)</f>
        <v>0.36829678552449352</v>
      </c>
      <c r="BO19" s="7">
        <f>LN(AX19/$BF19)</f>
        <v>-0.15359782944425568</v>
      </c>
      <c r="BP19" s="7">
        <f>LN(AY19/$BF19)</f>
        <v>1.462112618919112</v>
      </c>
      <c r="BQ19" s="7">
        <f>LN(AZ19/$BF19)</f>
        <v>0.65783771755014997</v>
      </c>
      <c r="BR19" s="7">
        <f>LN(BA19/$BF19)</f>
        <v>-0.58115805923499486</v>
      </c>
      <c r="BS19" s="7">
        <f>LN(BB19/$BF19)</f>
        <v>-0.44957634275801084</v>
      </c>
      <c r="BT19" s="7">
        <f>LN(BC19/$BF19)</f>
        <v>9.5076377553808978E-3</v>
      </c>
      <c r="BU19" s="7">
        <f>LN(BD19/$BF19)</f>
        <v>-0.44957634275801084</v>
      </c>
      <c r="BV19" s="7">
        <f t="shared" si="22"/>
        <v>9.5076377553808978E-3</v>
      </c>
    </row>
    <row r="20" spans="1:74" x14ac:dyDescent="0.2">
      <c r="A20" s="4">
        <f t="shared" si="15"/>
        <v>0.17553094446118989</v>
      </c>
      <c r="B20" s="4">
        <f t="shared" si="1"/>
        <v>4.04763382620342E-2</v>
      </c>
      <c r="C20" s="4">
        <f t="shared" si="2"/>
        <v>8.2411662366681321E-2</v>
      </c>
      <c r="D20" s="4">
        <f t="shared" si="3"/>
        <v>8.6549143896710312E-2</v>
      </c>
      <c r="E20" s="4">
        <f t="shared" si="4"/>
        <v>9.6114582849924676E-2</v>
      </c>
      <c r="F20" s="4">
        <f t="shared" si="5"/>
        <v>7.547888087049566E-2</v>
      </c>
      <c r="G20" s="4">
        <f t="shared" si="6"/>
        <v>2.1140044879494311E-2</v>
      </c>
      <c r="H20" s="4">
        <f t="shared" si="7"/>
        <v>0.12449514086919675</v>
      </c>
      <c r="I20" s="4">
        <f t="shared" si="8"/>
        <v>1.6766648196568187E-2</v>
      </c>
      <c r="J20" s="4">
        <f t="shared" si="9"/>
        <v>1.494740518875675E-2</v>
      </c>
      <c r="K20" s="4">
        <f t="shared" si="10"/>
        <v>9.0824672409151125E-2</v>
      </c>
      <c r="L20" s="4">
        <f t="shared" si="11"/>
        <v>4.418353879520648E-3</v>
      </c>
      <c r="M20" s="4">
        <f t="shared" si="12"/>
        <v>5.8278513197962699E-2</v>
      </c>
      <c r="N20" s="4">
        <f t="shared" si="13"/>
        <v>0.11256766867231359</v>
      </c>
      <c r="O20" s="5">
        <v>1977</v>
      </c>
      <c r="P20" s="6">
        <v>28689.542000000001</v>
      </c>
      <c r="Q20" s="6">
        <v>6615.6289999999999</v>
      </c>
      <c r="R20" s="6">
        <v>13469.721</v>
      </c>
      <c r="S20" s="6">
        <v>14145.969000000001</v>
      </c>
      <c r="T20" s="6">
        <v>15709.385999999999</v>
      </c>
      <c r="U20" s="6">
        <v>12336.597</v>
      </c>
      <c r="V20" s="6">
        <v>3455.221</v>
      </c>
      <c r="W20" s="6">
        <v>20348.027999999998</v>
      </c>
      <c r="X20" s="6">
        <v>2740.4140000000002</v>
      </c>
      <c r="Y20" s="6">
        <v>2443.069</v>
      </c>
      <c r="Z20" s="6">
        <v>14844.78</v>
      </c>
      <c r="AA20" s="6">
        <v>722.15499999999997</v>
      </c>
      <c r="AB20" s="6">
        <v>9525.2939999999999</v>
      </c>
      <c r="AC20" s="6">
        <v>18398.55</v>
      </c>
      <c r="AD20" s="6">
        <v>163444.35499999998</v>
      </c>
      <c r="AE20" s="6">
        <v>40860.898999999998</v>
      </c>
      <c r="AF20" s="6">
        <f t="shared" si="16"/>
        <v>122583.45599999998</v>
      </c>
      <c r="AG20" s="6">
        <v>204453.3</v>
      </c>
      <c r="AH20" s="6">
        <f t="shared" si="17"/>
        <v>81869.844000000012</v>
      </c>
      <c r="AI20" s="7">
        <v>0.29985000000000001</v>
      </c>
      <c r="AJ20" s="6">
        <v>53145.285499999998</v>
      </c>
      <c r="AK20" s="4">
        <f t="shared" si="18"/>
        <v>0.24999883905442927</v>
      </c>
      <c r="AL20" s="4">
        <f t="shared" si="19"/>
        <v>0.75000116094557068</v>
      </c>
      <c r="AM20" s="6">
        <f t="shared" si="20"/>
        <v>545087.060196765</v>
      </c>
      <c r="AN20" s="6">
        <f t="shared" si="23"/>
        <v>136271.13223278304</v>
      </c>
      <c r="AO20" s="6">
        <f t="shared" si="24"/>
        <v>408815.92796398193</v>
      </c>
      <c r="AP20" s="6">
        <f t="shared" si="25"/>
        <v>681851.92596298142</v>
      </c>
      <c r="AQ20" s="6">
        <f t="shared" si="26"/>
        <v>273035.99799899955</v>
      </c>
      <c r="AR20" s="7">
        <v>0.33348</v>
      </c>
      <c r="AS20" s="7">
        <v>0.17722000000000002</v>
      </c>
      <c r="AT20" s="7">
        <v>0.33472999999999997</v>
      </c>
      <c r="AU20" s="7">
        <v>0.21658999999999998</v>
      </c>
      <c r="AV20" s="7">
        <v>0.34360999999999997</v>
      </c>
      <c r="AW20" s="7">
        <v>0.42389000000000004</v>
      </c>
      <c r="AX20" s="7">
        <v>0.25822000000000001</v>
      </c>
      <c r="AY20" s="7">
        <v>1.2609900000000001</v>
      </c>
      <c r="AZ20" s="7">
        <v>0.56996000000000002</v>
      </c>
      <c r="BA20" s="7">
        <v>0.17056000000000002</v>
      </c>
      <c r="BB20" s="7">
        <v>0.19617000000000001</v>
      </c>
      <c r="BC20" s="7">
        <v>0.30238999999999999</v>
      </c>
      <c r="BD20" s="7">
        <v>0.19617000000000001</v>
      </c>
      <c r="BE20" s="7">
        <v>0.30238999999999999</v>
      </c>
      <c r="BF20" s="7">
        <v>0.29985000000000001</v>
      </c>
      <c r="BG20" s="7">
        <v>-1.0712411052309154</v>
      </c>
      <c r="BH20" s="7">
        <f>LN(AG20)-BG20</f>
        <v>13.299335971759179</v>
      </c>
      <c r="BI20" s="7">
        <f>LN(AR20/$BF20)</f>
        <v>0.10630054392789379</v>
      </c>
      <c r="BJ20" s="7">
        <f>LN(AS20/$BF20)</f>
        <v>-0.52589045099536236</v>
      </c>
      <c r="BK20" s="7">
        <f>LN(AT20/$BF20)</f>
        <v>0.11004188709273136</v>
      </c>
      <c r="BL20" s="7">
        <f>LN(AU20/$BF20)</f>
        <v>-0.32527618416511411</v>
      </c>
      <c r="BM20" s="7">
        <f>LN(AV20/$BF20)</f>
        <v>0.13622494368092716</v>
      </c>
      <c r="BN20" s="7">
        <f>LN(AW20/$BF20)</f>
        <v>0.34619163799636299</v>
      </c>
      <c r="BO20" s="7">
        <f>LN(AX20/$BF20)</f>
        <v>-0.14947041486794624</v>
      </c>
      <c r="BP20" s="7">
        <f>LN(AY20/$BF20)</f>
        <v>1.4363700561048407</v>
      </c>
      <c r="BQ20" s="7">
        <f>LN(AZ20/$BF20)</f>
        <v>0.64228383331306926</v>
      </c>
      <c r="BR20" s="7">
        <f>LN(BA20/$BF20)</f>
        <v>-0.56419520863703898</v>
      </c>
      <c r="BS20" s="7">
        <f>LN(BB20/$BF20)</f>
        <v>-0.42430071937322444</v>
      </c>
      <c r="BT20" s="7">
        <f>LN(BC20/$BF20)</f>
        <v>8.4352253610059866E-3</v>
      </c>
      <c r="BU20" s="7">
        <f>LN(BD20/$BF20)</f>
        <v>-0.42430071937322444</v>
      </c>
      <c r="BV20" s="7">
        <f t="shared" si="22"/>
        <v>8.4352253610059866E-3</v>
      </c>
    </row>
    <row r="21" spans="1:74" x14ac:dyDescent="0.2">
      <c r="A21" s="4">
        <f t="shared" si="15"/>
        <v>0.1718669882051273</v>
      </c>
      <c r="B21" s="4">
        <f t="shared" si="1"/>
        <v>3.90824573240394E-2</v>
      </c>
      <c r="C21" s="4">
        <f t="shared" si="2"/>
        <v>8.0058443135152382E-2</v>
      </c>
      <c r="D21" s="4">
        <f t="shared" si="3"/>
        <v>9.1335554112904199E-2</v>
      </c>
      <c r="E21" s="4">
        <f t="shared" si="4"/>
        <v>9.2712599523899195E-2</v>
      </c>
      <c r="F21" s="4">
        <f t="shared" si="5"/>
        <v>7.4441215564207033E-2</v>
      </c>
      <c r="G21" s="4">
        <f t="shared" si="6"/>
        <v>2.2302355053192901E-2</v>
      </c>
      <c r="H21" s="4">
        <f t="shared" si="7"/>
        <v>0.12727611184060184</v>
      </c>
      <c r="I21" s="4">
        <f t="shared" si="8"/>
        <v>1.7425658906412279E-2</v>
      </c>
      <c r="J21" s="4">
        <f t="shared" si="9"/>
        <v>1.6219339350989466E-2</v>
      </c>
      <c r="K21" s="4">
        <f t="shared" si="10"/>
        <v>9.0309137946167614E-2</v>
      </c>
      <c r="L21" s="4">
        <f t="shared" si="11"/>
        <v>4.6040948178047653E-3</v>
      </c>
      <c r="M21" s="4">
        <f t="shared" si="12"/>
        <v>5.8032072311148451E-2</v>
      </c>
      <c r="N21" s="4">
        <f t="shared" si="13"/>
        <v>0.11433397190835351</v>
      </c>
      <c r="O21" s="5">
        <v>1978</v>
      </c>
      <c r="P21" s="6">
        <v>31854.502</v>
      </c>
      <c r="Q21" s="6">
        <v>7243.6959999999999</v>
      </c>
      <c r="R21" s="6">
        <v>14838.346</v>
      </c>
      <c r="S21" s="6">
        <v>16928.489999999998</v>
      </c>
      <c r="T21" s="6">
        <v>17183.717000000004</v>
      </c>
      <c r="U21" s="6">
        <v>13797.227000000001</v>
      </c>
      <c r="V21" s="6">
        <v>4133.6059999999998</v>
      </c>
      <c r="W21" s="6">
        <v>23589.853999999999</v>
      </c>
      <c r="X21" s="6">
        <v>3229.74</v>
      </c>
      <c r="Y21" s="6">
        <v>3006.1559999999999</v>
      </c>
      <c r="Z21" s="6">
        <v>16738.25</v>
      </c>
      <c r="AA21" s="6">
        <v>853.34100000000001</v>
      </c>
      <c r="AB21" s="6">
        <v>10755.892</v>
      </c>
      <c r="AC21" s="6">
        <v>21191.107</v>
      </c>
      <c r="AD21" s="6">
        <v>185343.92399999994</v>
      </c>
      <c r="AE21" s="6">
        <v>46900.517999999996</v>
      </c>
      <c r="AF21" s="6">
        <f t="shared" si="16"/>
        <v>138443.40599999996</v>
      </c>
      <c r="AG21" s="6">
        <v>235597.8</v>
      </c>
      <c r="AH21" s="6">
        <f t="shared" si="17"/>
        <v>97154.394000000029</v>
      </c>
      <c r="AI21" s="7">
        <v>0.32594999999999996</v>
      </c>
      <c r="AJ21" s="6">
        <v>53376.319499999998</v>
      </c>
      <c r="AK21" s="4">
        <f t="shared" si="18"/>
        <v>0.25304588889571589</v>
      </c>
      <c r="AL21" s="4">
        <f t="shared" si="19"/>
        <v>0.74695411110428422</v>
      </c>
      <c r="AM21" s="6">
        <f t="shared" si="20"/>
        <v>568626.85687988938</v>
      </c>
      <c r="AN21" s="6">
        <f t="shared" si="23"/>
        <v>143888.68844914864</v>
      </c>
      <c r="AO21" s="6">
        <f t="shared" si="24"/>
        <v>424738.16843074083</v>
      </c>
      <c r="AP21" s="6">
        <f t="shared" si="25"/>
        <v>722803.49746893696</v>
      </c>
      <c r="AQ21" s="6">
        <f t="shared" si="26"/>
        <v>298065.32903819619</v>
      </c>
      <c r="AR21" s="7">
        <v>0.35473999999999994</v>
      </c>
      <c r="AS21" s="7">
        <v>0.19366</v>
      </c>
      <c r="AT21" s="7">
        <v>0.36637000000000003</v>
      </c>
      <c r="AU21" s="7">
        <v>0.23396999999999998</v>
      </c>
      <c r="AV21" s="7">
        <v>0.37112000000000001</v>
      </c>
      <c r="AW21" s="7">
        <v>0.46858</v>
      </c>
      <c r="AX21" s="7">
        <v>0.28262999999999999</v>
      </c>
      <c r="AY21" s="7">
        <v>1.3716300000000001</v>
      </c>
      <c r="AZ21" s="7">
        <v>0.61634</v>
      </c>
      <c r="BA21" s="7">
        <v>0.18623999999999999</v>
      </c>
      <c r="BB21" s="7">
        <v>0.21506</v>
      </c>
      <c r="BC21" s="7">
        <v>0.33826000000000001</v>
      </c>
      <c r="BD21" s="7">
        <v>0.21506</v>
      </c>
      <c r="BE21" s="7">
        <v>0.33826000000000001</v>
      </c>
      <c r="BF21" s="7">
        <v>0.32594999999999996</v>
      </c>
      <c r="BG21" s="7">
        <v>-0.98421935387593307</v>
      </c>
      <c r="BH21" s="7">
        <f>LN(AG21)-BG21</f>
        <v>13.354100746731122</v>
      </c>
      <c r="BI21" s="7">
        <f>LN(AR21/$BF21)</f>
        <v>8.4641131406891931E-2</v>
      </c>
      <c r="BJ21" s="7">
        <f>LN(AS21/$BF21)</f>
        <v>-0.52063995118716322</v>
      </c>
      <c r="BK21" s="7">
        <f>LN(AT21/$BF21)</f>
        <v>0.11689975634800508</v>
      </c>
      <c r="BL21" s="7">
        <f>LN(AU21/$BF21)</f>
        <v>-0.33155109336003197</v>
      </c>
      <c r="BM21" s="7">
        <f>LN(AV21/$BF21)</f>
        <v>0.12978146507293994</v>
      </c>
      <c r="BN21" s="7">
        <f>LN(AW21/$BF21)</f>
        <v>0.3629628494679456</v>
      </c>
      <c r="BO21" s="7">
        <f>LN(AX21/$BF21)</f>
        <v>-0.14260537364186215</v>
      </c>
      <c r="BP21" s="7">
        <f>LN(AY21/$BF21)</f>
        <v>1.4370110972449894</v>
      </c>
      <c r="BQ21" s="7">
        <f>LN(AZ21/$BF21)</f>
        <v>0.63705476394762017</v>
      </c>
      <c r="BR21" s="7">
        <f>LN(BA21/$BF21)</f>
        <v>-0.55970783082747522</v>
      </c>
      <c r="BS21" s="7">
        <f>LN(BB21/$BF21)</f>
        <v>-0.41582693640816804</v>
      </c>
      <c r="BT21" s="7">
        <f>LN(BC21/$BF21)</f>
        <v>3.7070835175347649E-2</v>
      </c>
      <c r="BU21" s="7">
        <f>LN(BD21/$BF21)</f>
        <v>-0.41582693640816804</v>
      </c>
      <c r="BV21" s="7">
        <f t="shared" si="22"/>
        <v>3.7070835175347649E-2</v>
      </c>
    </row>
    <row r="22" spans="1:74" x14ac:dyDescent="0.2">
      <c r="A22" s="4">
        <f t="shared" si="15"/>
        <v>0.16632836315221919</v>
      </c>
      <c r="B22" s="4">
        <f t="shared" si="1"/>
        <v>3.8456453819959685E-2</v>
      </c>
      <c r="C22" s="4">
        <f t="shared" si="2"/>
        <v>7.8879425735914235E-2</v>
      </c>
      <c r="D22" s="4">
        <f t="shared" si="3"/>
        <v>9.3327850653241007E-2</v>
      </c>
      <c r="E22" s="4">
        <f t="shared" si="4"/>
        <v>9.1948997361533974E-2</v>
      </c>
      <c r="F22" s="4">
        <f t="shared" si="5"/>
        <v>7.4745154601566541E-2</v>
      </c>
      <c r="G22" s="4">
        <f t="shared" si="6"/>
        <v>2.2125355952170366E-2</v>
      </c>
      <c r="H22" s="4">
        <f t="shared" si="7"/>
        <v>0.12805089262820993</v>
      </c>
      <c r="I22" s="4">
        <f t="shared" si="8"/>
        <v>1.8250414217341217E-2</v>
      </c>
      <c r="J22" s="4">
        <f t="shared" si="9"/>
        <v>1.7854636309248589E-2</v>
      </c>
      <c r="K22" s="4">
        <f t="shared" si="10"/>
        <v>9.0355581686340253E-2</v>
      </c>
      <c r="L22" s="4">
        <f t="shared" si="11"/>
        <v>4.6702556068521283E-3</v>
      </c>
      <c r="M22" s="4">
        <f t="shared" si="12"/>
        <v>5.640459413755157E-2</v>
      </c>
      <c r="N22" s="4">
        <f t="shared" si="13"/>
        <v>0.11860202413785137</v>
      </c>
      <c r="O22" s="5">
        <v>1979</v>
      </c>
      <c r="P22" s="6">
        <v>35318.803</v>
      </c>
      <c r="Q22" s="6">
        <v>8165.991</v>
      </c>
      <c r="R22" s="6">
        <v>16749.560000000001</v>
      </c>
      <c r="S22" s="6">
        <v>19817.594000000001</v>
      </c>
      <c r="T22" s="6">
        <v>19524.802999999996</v>
      </c>
      <c r="U22" s="6">
        <v>15871.673000000001</v>
      </c>
      <c r="V22" s="6">
        <v>4698.183</v>
      </c>
      <c r="W22" s="6">
        <v>27190.817999999999</v>
      </c>
      <c r="X22" s="6">
        <v>3875.3629999999998</v>
      </c>
      <c r="Y22" s="6">
        <v>3791.3220000000001</v>
      </c>
      <c r="Z22" s="6">
        <v>19186.451000000001</v>
      </c>
      <c r="AA22" s="6">
        <v>991.7</v>
      </c>
      <c r="AB22" s="6">
        <v>11977.168</v>
      </c>
      <c r="AC22" s="6">
        <v>25184.409</v>
      </c>
      <c r="AD22" s="6">
        <v>212343.83799999999</v>
      </c>
      <c r="AE22" s="6">
        <v>54832.923000000003</v>
      </c>
      <c r="AF22" s="6">
        <f t="shared" si="16"/>
        <v>157510.91499999998</v>
      </c>
      <c r="AG22" s="6">
        <v>263596.79999999999</v>
      </c>
      <c r="AH22" s="6">
        <f t="shared" si="17"/>
        <v>106085.88500000001</v>
      </c>
      <c r="AI22" s="7">
        <v>0.36158000000000001</v>
      </c>
      <c r="AJ22" s="6">
        <v>53606.23</v>
      </c>
      <c r="AK22" s="4">
        <f t="shared" si="18"/>
        <v>0.2582270506008279</v>
      </c>
      <c r="AL22" s="4">
        <f t="shared" si="19"/>
        <v>0.74177294939917204</v>
      </c>
      <c r="AM22" s="6">
        <f t="shared" si="20"/>
        <v>587266.54682227992</v>
      </c>
      <c r="AN22" s="6">
        <f t="shared" si="23"/>
        <v>151648.10830245036</v>
      </c>
      <c r="AO22" s="6">
        <f t="shared" si="24"/>
        <v>435618.43851982953</v>
      </c>
      <c r="AP22" s="6">
        <f t="shared" si="25"/>
        <v>729013.77288566844</v>
      </c>
      <c r="AQ22" s="6">
        <f t="shared" si="26"/>
        <v>293395.33436583885</v>
      </c>
      <c r="AR22" s="7">
        <v>0.38435000000000002</v>
      </c>
      <c r="AS22" s="7">
        <v>0.21337</v>
      </c>
      <c r="AT22" s="7">
        <v>0.40671000000000002</v>
      </c>
      <c r="AU22" s="7">
        <v>0.26170000000000004</v>
      </c>
      <c r="AV22" s="7">
        <v>0.40781000000000001</v>
      </c>
      <c r="AW22" s="7">
        <v>0.50554999999999994</v>
      </c>
      <c r="AX22" s="7">
        <v>0.31917000000000001</v>
      </c>
      <c r="AY22" s="7">
        <v>1.46946</v>
      </c>
      <c r="AZ22" s="7">
        <v>0.66677999999999993</v>
      </c>
      <c r="BA22" s="7">
        <v>0.20431000000000002</v>
      </c>
      <c r="BB22" s="7">
        <v>0.24068000000000001</v>
      </c>
      <c r="BC22" s="7">
        <v>0.38796999999999998</v>
      </c>
      <c r="BD22" s="7">
        <v>0.24068000000000001</v>
      </c>
      <c r="BE22" s="7">
        <v>0.38796999999999998</v>
      </c>
      <c r="BF22" s="7">
        <v>0.36158000000000001</v>
      </c>
      <c r="BG22" s="7">
        <v>-0.88546194932642441</v>
      </c>
      <c r="BH22" s="7">
        <f>LN(AG22)-BG22</f>
        <v>13.367637891257766</v>
      </c>
      <c r="BI22" s="7">
        <f>LN(AR22/$BF22)</f>
        <v>6.1070278541272636E-2</v>
      </c>
      <c r="BJ22" s="7">
        <f>LN(AS22/$BF22)</f>
        <v>-0.52745556933707605</v>
      </c>
      <c r="BK22" s="7">
        <f>LN(AT22/$BF22)</f>
        <v>0.11761708350553922</v>
      </c>
      <c r="BL22" s="7">
        <f>LN(AU22/$BF22)</f>
        <v>-0.32328450771776801</v>
      </c>
      <c r="BM22" s="7">
        <f>LN(AV22/$BF22)</f>
        <v>0.12031806241025511</v>
      </c>
      <c r="BN22" s="7">
        <f>LN(AW22/$BF22)</f>
        <v>0.33516362828353963</v>
      </c>
      <c r="BO22" s="7">
        <f>LN(AX22/$BF22)</f>
        <v>-0.1247594410574841</v>
      </c>
      <c r="BP22" s="7">
        <f>LN(AY22/$BF22)</f>
        <v>1.4021669480917232</v>
      </c>
      <c r="BQ22" s="7">
        <f>LN(AZ22/$BF22)</f>
        <v>0.6119768391717415</v>
      </c>
      <c r="BR22" s="7">
        <f>LN(BA22/$BF22)</f>
        <v>-0.5708448690021477</v>
      </c>
      <c r="BS22" s="7">
        <f>LN(BB22/$BF22)</f>
        <v>-0.40701506690171746</v>
      </c>
      <c r="BT22" s="7">
        <f>LN(BC22/$BF22)</f>
        <v>7.0444699792462762E-2</v>
      </c>
      <c r="BU22" s="7">
        <f>LN(BD22/$BF22)</f>
        <v>-0.40701506690171746</v>
      </c>
      <c r="BV22" s="7">
        <f t="shared" si="22"/>
        <v>7.0444699792462762E-2</v>
      </c>
    </row>
    <row r="23" spans="1:74" x14ac:dyDescent="0.2">
      <c r="A23" s="4">
        <f t="shared" si="15"/>
        <v>0.16134552433113544</v>
      </c>
      <c r="B23" s="4">
        <f t="shared" si="1"/>
        <v>3.7837551281044275E-2</v>
      </c>
      <c r="C23" s="4">
        <f t="shared" si="2"/>
        <v>7.5797089657915595E-2</v>
      </c>
      <c r="D23" s="4">
        <f t="shared" si="3"/>
        <v>0.10811156760263305</v>
      </c>
      <c r="E23" s="4">
        <f t="shared" si="4"/>
        <v>8.7667494588843486E-2</v>
      </c>
      <c r="F23" s="4">
        <f t="shared" si="5"/>
        <v>7.4481986984922199E-2</v>
      </c>
      <c r="G23" s="4">
        <f t="shared" si="6"/>
        <v>2.2134614895245569E-2</v>
      </c>
      <c r="H23" s="4">
        <f t="shared" si="7"/>
        <v>0.12718510197852176</v>
      </c>
      <c r="I23" s="4">
        <f t="shared" si="8"/>
        <v>1.8629343217181387E-2</v>
      </c>
      <c r="J23" s="4">
        <f t="shared" si="9"/>
        <v>1.854433399969755E-2</v>
      </c>
      <c r="K23" s="4">
        <f t="shared" si="10"/>
        <v>8.9062361536069223E-2</v>
      </c>
      <c r="L23" s="4">
        <f t="shared" si="11"/>
        <v>4.8262651422231566E-3</v>
      </c>
      <c r="M23" s="4">
        <f t="shared" si="12"/>
        <v>5.6532408981537913E-2</v>
      </c>
      <c r="N23" s="4">
        <f t="shared" si="13"/>
        <v>0.1178443558030295</v>
      </c>
      <c r="O23" s="5">
        <v>1980</v>
      </c>
      <c r="P23" s="6">
        <v>39221.690999999999</v>
      </c>
      <c r="Q23" s="6">
        <v>9197.9789999999994</v>
      </c>
      <c r="R23" s="6">
        <v>18425.612000000001</v>
      </c>
      <c r="S23" s="6">
        <v>26280.98</v>
      </c>
      <c r="T23" s="6">
        <v>21311.204000000002</v>
      </c>
      <c r="U23" s="6">
        <v>18105.921999999999</v>
      </c>
      <c r="V23" s="6">
        <v>5380.732</v>
      </c>
      <c r="W23" s="6">
        <v>30917.589999999997</v>
      </c>
      <c r="X23" s="6">
        <v>4528.6310000000003</v>
      </c>
      <c r="Y23" s="6">
        <v>4507.9660000000003</v>
      </c>
      <c r="Z23" s="6">
        <v>21650.284</v>
      </c>
      <c r="AA23" s="6">
        <v>1173.223</v>
      </c>
      <c r="AB23" s="6">
        <v>13742.536</v>
      </c>
      <c r="AC23" s="6">
        <v>28646.936000000002</v>
      </c>
      <c r="AD23" s="6">
        <v>243091.28599999996</v>
      </c>
      <c r="AE23" s="6">
        <v>65511.313999999998</v>
      </c>
      <c r="AF23" s="6">
        <f t="shared" si="16"/>
        <v>177579.97199999995</v>
      </c>
      <c r="AG23" s="6">
        <v>299749.59999999998</v>
      </c>
      <c r="AH23" s="6">
        <f t="shared" si="17"/>
        <v>122169.62800000003</v>
      </c>
      <c r="AI23" s="7">
        <v>0.40881999999999996</v>
      </c>
      <c r="AJ23" s="6">
        <v>53880.008500000004</v>
      </c>
      <c r="AK23" s="4">
        <f t="shared" si="18"/>
        <v>0.26949264647849208</v>
      </c>
      <c r="AL23" s="4">
        <f t="shared" si="19"/>
        <v>0.73050735352150786</v>
      </c>
      <c r="AM23" s="6">
        <f t="shared" si="20"/>
        <v>594616.9120884497</v>
      </c>
      <c r="AN23" s="6">
        <f t="shared" si="23"/>
        <v>160244.88527958517</v>
      </c>
      <c r="AO23" s="6">
        <f t="shared" si="24"/>
        <v>434372.02680886444</v>
      </c>
      <c r="AP23" s="6">
        <f t="shared" si="25"/>
        <v>733206.79027444846</v>
      </c>
      <c r="AQ23" s="6">
        <f t="shared" si="26"/>
        <v>298834.76346558396</v>
      </c>
      <c r="AR23" s="7">
        <v>0.41881000000000002</v>
      </c>
      <c r="AS23" s="7">
        <v>0.23662</v>
      </c>
      <c r="AT23" s="7">
        <v>0.45216000000000001</v>
      </c>
      <c r="AU23" s="7">
        <v>0.30735000000000001</v>
      </c>
      <c r="AV23" s="7">
        <v>0.45843000000000006</v>
      </c>
      <c r="AW23" s="7">
        <v>0.55730999999999997</v>
      </c>
      <c r="AX23" s="7">
        <v>0.36654999999999999</v>
      </c>
      <c r="AY23" s="7">
        <v>1.51884</v>
      </c>
      <c r="AZ23" s="7">
        <v>0.73510999999999993</v>
      </c>
      <c r="BA23" s="7">
        <v>0.23189000000000001</v>
      </c>
      <c r="BB23" s="7">
        <v>0.27466000000000002</v>
      </c>
      <c r="BC23" s="7">
        <v>0.45017000000000001</v>
      </c>
      <c r="BD23" s="7">
        <v>0.27466000000000002</v>
      </c>
      <c r="BE23" s="7">
        <v>0.45017000000000001</v>
      </c>
      <c r="BF23" s="7">
        <v>0.40881999999999996</v>
      </c>
      <c r="BG23" s="7">
        <v>-0.78253050227417065</v>
      </c>
      <c r="BH23" s="7">
        <f>LN(AG23)-BG23</f>
        <v>13.393233240717668</v>
      </c>
      <c r="BI23" s="7">
        <f>LN(AR23/$BF23)</f>
        <v>2.4142395085422583E-2</v>
      </c>
      <c r="BJ23" s="7">
        <f>LN(AS23/$BF23)</f>
        <v>-0.54681948254631441</v>
      </c>
      <c r="BK23" s="7">
        <f>LN(AT23/$BF23)</f>
        <v>0.10076113812433155</v>
      </c>
      <c r="BL23" s="7">
        <f>LN(AU23/$BF23)</f>
        <v>-0.28528779801881265</v>
      </c>
      <c r="BM23" s="7">
        <f>LN(AV23/$BF23)</f>
        <v>0.11453264691344456</v>
      </c>
      <c r="BN23" s="7">
        <f>LN(AW23/$BF23)</f>
        <v>0.30984667669959137</v>
      </c>
      <c r="BO23" s="7">
        <f>LN(AX23/$BF23)</f>
        <v>-0.10914002370223558</v>
      </c>
      <c r="BP23" s="7">
        <f>LN(AY23/$BF23)</f>
        <v>1.3124272032205262</v>
      </c>
      <c r="BQ23" s="7">
        <f>LN(AZ23/$BF23)</f>
        <v>0.58674518650703089</v>
      </c>
      <c r="BR23" s="7">
        <f>LN(BA23/$BF23)</f>
        <v>-0.56701184007548677</v>
      </c>
      <c r="BS23" s="7">
        <f>LN(BB23/$BF23)</f>
        <v>-0.39774099226969517</v>
      </c>
      <c r="BT23" s="7">
        <f>LN(BC23/$BF23)</f>
        <v>9.6350327830254046E-2</v>
      </c>
      <c r="BU23" s="7">
        <f>LN(BD23/$BF23)</f>
        <v>-0.39774099226969517</v>
      </c>
      <c r="BV23" s="7">
        <f t="shared" si="22"/>
        <v>9.6350327830254046E-2</v>
      </c>
    </row>
    <row r="24" spans="1:74" x14ac:dyDescent="0.2">
      <c r="A24" s="4">
        <f t="shared" si="15"/>
        <v>0.16019035640350907</v>
      </c>
      <c r="B24" s="4">
        <f t="shared" si="1"/>
        <v>3.7368553544898965E-2</v>
      </c>
      <c r="C24" s="4">
        <f t="shared" si="2"/>
        <v>7.3960260693447105E-2</v>
      </c>
      <c r="D24" s="4">
        <f t="shared" si="3"/>
        <v>0.10666423514334579</v>
      </c>
      <c r="E24" s="4">
        <f t="shared" si="4"/>
        <v>8.9612250254458611E-2</v>
      </c>
      <c r="F24" s="4">
        <f t="shared" si="5"/>
        <v>7.2586870813975579E-2</v>
      </c>
      <c r="G24" s="4">
        <f t="shared" si="6"/>
        <v>2.2863409500865337E-2</v>
      </c>
      <c r="H24" s="4">
        <f t="shared" si="7"/>
        <v>0.12746360774664084</v>
      </c>
      <c r="I24" s="4">
        <f t="shared" si="8"/>
        <v>1.8814558528377379E-2</v>
      </c>
      <c r="J24" s="4">
        <f t="shared" si="9"/>
        <v>1.9009532466321977E-2</v>
      </c>
      <c r="K24" s="4">
        <f t="shared" si="10"/>
        <v>8.7534807565894379E-2</v>
      </c>
      <c r="L24" s="4">
        <f t="shared" si="11"/>
        <v>4.8557182374829415E-3</v>
      </c>
      <c r="M24" s="4">
        <f t="shared" si="12"/>
        <v>5.7012106712271381E-2</v>
      </c>
      <c r="N24" s="4">
        <f t="shared" si="13"/>
        <v>0.12206373238851083</v>
      </c>
      <c r="O24" s="5">
        <v>1981</v>
      </c>
      <c r="P24" s="6">
        <v>45072.911</v>
      </c>
      <c r="Q24" s="6">
        <v>10514.424999999999</v>
      </c>
      <c r="R24" s="6">
        <v>20810.268</v>
      </c>
      <c r="S24" s="6">
        <v>30012.216</v>
      </c>
      <c r="T24" s="6">
        <v>25214.283000000003</v>
      </c>
      <c r="U24" s="6">
        <v>20423.835999999999</v>
      </c>
      <c r="V24" s="6">
        <v>6433.0990000000002</v>
      </c>
      <c r="W24" s="6">
        <v>35864.555</v>
      </c>
      <c r="X24" s="6">
        <v>5293.87</v>
      </c>
      <c r="Y24" s="6">
        <v>5348.73</v>
      </c>
      <c r="Z24" s="6">
        <v>24629.751</v>
      </c>
      <c r="AA24" s="6">
        <v>1366.258</v>
      </c>
      <c r="AB24" s="6">
        <v>16041.55</v>
      </c>
      <c r="AC24" s="6">
        <v>34345.186999999998</v>
      </c>
      <c r="AD24" s="6">
        <v>281370.93899999995</v>
      </c>
      <c r="AE24" s="6">
        <v>77495.144</v>
      </c>
      <c r="AF24" s="6">
        <f t="shared" si="16"/>
        <v>203875.79499999995</v>
      </c>
      <c r="AG24" s="6">
        <v>346513.1</v>
      </c>
      <c r="AH24" s="6">
        <f t="shared" si="17"/>
        <v>142637.30500000002</v>
      </c>
      <c r="AI24" s="7">
        <v>0.46456999999999998</v>
      </c>
      <c r="AJ24" s="6">
        <v>54181.815000000002</v>
      </c>
      <c r="AK24" s="4">
        <f t="shared" si="18"/>
        <v>0.27541985777003081</v>
      </c>
      <c r="AL24" s="4">
        <f t="shared" si="19"/>
        <v>0.72458014222996925</v>
      </c>
      <c r="AM24" s="6">
        <f t="shared" si="20"/>
        <v>605658.8651871623</v>
      </c>
      <c r="AN24" s="6">
        <f t="shared" si="23"/>
        <v>166810.47850700648</v>
      </c>
      <c r="AO24" s="6">
        <f t="shared" si="24"/>
        <v>438848.38668015576</v>
      </c>
      <c r="AP24" s="6">
        <f t="shared" si="25"/>
        <v>745879.2001205415</v>
      </c>
      <c r="AQ24" s="6">
        <f t="shared" si="26"/>
        <v>307030.8134403858</v>
      </c>
      <c r="AR24" s="7">
        <v>0.47397</v>
      </c>
      <c r="AS24" s="7">
        <v>0.27129999999999999</v>
      </c>
      <c r="AT24" s="7">
        <v>0.49469999999999997</v>
      </c>
      <c r="AU24" s="7">
        <v>0.35338999999999998</v>
      </c>
      <c r="AV24" s="7">
        <v>0.51277000000000006</v>
      </c>
      <c r="AW24" s="7">
        <v>0.61511000000000005</v>
      </c>
      <c r="AX24" s="7">
        <v>0.41500999999999999</v>
      </c>
      <c r="AY24" s="7">
        <v>1.5597099999999999</v>
      </c>
      <c r="AZ24" s="7">
        <v>0.81346999999999992</v>
      </c>
      <c r="BA24" s="7">
        <v>0.26325999999999999</v>
      </c>
      <c r="BB24" s="7">
        <v>0.32014000000000004</v>
      </c>
      <c r="BC24" s="7">
        <v>0.53900000000000003</v>
      </c>
      <c r="BD24" s="7">
        <v>0.32014000000000004</v>
      </c>
      <c r="BE24" s="7">
        <v>0.53900000000000003</v>
      </c>
      <c r="BF24" s="7">
        <v>0.46456999999999998</v>
      </c>
      <c r="BG24" s="7">
        <v>-0.66226460703957235</v>
      </c>
      <c r="BH24" s="7">
        <f>LN(AG24)-BG24</f>
        <v>13.417940510574821</v>
      </c>
      <c r="BI24" s="7">
        <f>LN(AR24/$BF24)</f>
        <v>2.0031781975957699E-2</v>
      </c>
      <c r="BJ24" s="7">
        <f>LN(AS24/$BF24)</f>
        <v>-0.53788702691202361</v>
      </c>
      <c r="BK24" s="7">
        <f>LN(AT24/$BF24)</f>
        <v>6.2839271656753293E-2</v>
      </c>
      <c r="BL24" s="7">
        <f>LN(AU24/$BF24)</f>
        <v>-0.27353998363948967</v>
      </c>
      <c r="BM24" s="7">
        <f>LN(AV24/$BF24)</f>
        <v>9.8715154978128536E-2</v>
      </c>
      <c r="BN24" s="7">
        <f>LN(AW24/$BF24)</f>
        <v>0.28068886702436352</v>
      </c>
      <c r="BO24" s="7">
        <f>LN(AX24/$BF24)</f>
        <v>-0.11280963025098248</v>
      </c>
      <c r="BP24" s="7">
        <f>LN(AY24/$BF24)</f>
        <v>1.2111429389497057</v>
      </c>
      <c r="BQ24" s="7">
        <f>LN(AZ24/$BF24)</f>
        <v>0.56019680171318587</v>
      </c>
      <c r="BR24" s="7">
        <f>LN(BA24/$BF24)</f>
        <v>-0.56797010957964811</v>
      </c>
      <c r="BS24" s="7">
        <f>LN(BB24/$BF24)</f>
        <v>-0.37235384645835801</v>
      </c>
      <c r="BT24" s="7">
        <f>LN(BC24/$BF24)</f>
        <v>0.14860332433208748</v>
      </c>
      <c r="BU24" s="7">
        <f>LN(BD24/$BF24)</f>
        <v>-0.37235384645835801</v>
      </c>
      <c r="BV24" s="7">
        <f t="shared" si="22"/>
        <v>0.14860332433208748</v>
      </c>
    </row>
    <row r="25" spans="1:74" x14ac:dyDescent="0.2">
      <c r="A25" s="4">
        <f t="shared" si="15"/>
        <v>0.1581127348685625</v>
      </c>
      <c r="B25" s="4">
        <f t="shared" si="1"/>
        <v>3.7528917599756871E-2</v>
      </c>
      <c r="C25" s="4">
        <f t="shared" si="2"/>
        <v>7.3039773297534874E-2</v>
      </c>
      <c r="D25" s="4">
        <f t="shared" si="3"/>
        <v>0.10589496156788554</v>
      </c>
      <c r="E25" s="4">
        <f t="shared" si="4"/>
        <v>8.6350825891263833E-2</v>
      </c>
      <c r="F25" s="4">
        <f t="shared" si="5"/>
        <v>7.1931964172771909E-2</v>
      </c>
      <c r="G25" s="4">
        <f t="shared" si="6"/>
        <v>2.3351371188841844E-2</v>
      </c>
      <c r="H25" s="4">
        <f t="shared" si="7"/>
        <v>0.13326112587392289</v>
      </c>
      <c r="I25" s="4">
        <f t="shared" si="8"/>
        <v>1.8896190701824512E-2</v>
      </c>
      <c r="J25" s="4">
        <f t="shared" si="9"/>
        <v>1.9080314681187045E-2</v>
      </c>
      <c r="K25" s="4">
        <f t="shared" si="10"/>
        <v>8.8760683133044749E-2</v>
      </c>
      <c r="L25" s="4">
        <f t="shared" si="11"/>
        <v>4.6877489217434683E-3</v>
      </c>
      <c r="M25" s="4">
        <f t="shared" si="12"/>
        <v>5.696898239905053E-2</v>
      </c>
      <c r="N25" s="4">
        <f t="shared" si="13"/>
        <v>0.12213440570260936</v>
      </c>
      <c r="O25" s="5">
        <v>1982</v>
      </c>
      <c r="P25" s="6">
        <v>51427.606</v>
      </c>
      <c r="Q25" s="6">
        <v>12206.621999999999</v>
      </c>
      <c r="R25" s="6">
        <v>23756.850999999999</v>
      </c>
      <c r="S25" s="6">
        <v>34443.300000000003</v>
      </c>
      <c r="T25" s="6">
        <v>28086.392</v>
      </c>
      <c r="U25" s="6">
        <v>23396.526000000002</v>
      </c>
      <c r="V25" s="6">
        <v>7595.2460000000001</v>
      </c>
      <c r="W25" s="6">
        <v>43344.394</v>
      </c>
      <c r="X25" s="6">
        <v>6146.1580000000004</v>
      </c>
      <c r="Y25" s="6">
        <v>6206.0460000000003</v>
      </c>
      <c r="Z25" s="6">
        <v>28870.22</v>
      </c>
      <c r="AA25" s="6">
        <v>1524.7329999999999</v>
      </c>
      <c r="AB25" s="6">
        <v>18529.68</v>
      </c>
      <c r="AC25" s="6">
        <v>39725.326999999997</v>
      </c>
      <c r="AD25" s="6">
        <v>325259.10100000002</v>
      </c>
      <c r="AE25" s="6">
        <v>88795.665999999997</v>
      </c>
      <c r="AF25" s="6">
        <f t="shared" si="16"/>
        <v>236463.43500000003</v>
      </c>
      <c r="AG25" s="6">
        <v>395889.7</v>
      </c>
      <c r="AH25" s="6">
        <f t="shared" si="17"/>
        <v>159426.26499999998</v>
      </c>
      <c r="AI25" s="7">
        <v>0.51937</v>
      </c>
      <c r="AJ25" s="6">
        <v>54492.491999999998</v>
      </c>
      <c r="AK25" s="4">
        <f t="shared" si="18"/>
        <v>0.27299978917423123</v>
      </c>
      <c r="AL25" s="4">
        <f t="shared" si="19"/>
        <v>0.72700021082576871</v>
      </c>
      <c r="AM25" s="6">
        <f t="shared" si="20"/>
        <v>626257.00560294208</v>
      </c>
      <c r="AN25" s="6">
        <f t="shared" si="23"/>
        <v>170968.03049848854</v>
      </c>
      <c r="AO25" s="6">
        <f t="shared" si="24"/>
        <v>455288.97510445351</v>
      </c>
      <c r="AP25" s="6">
        <f t="shared" si="25"/>
        <v>762249.84115370549</v>
      </c>
      <c r="AQ25" s="6">
        <f t="shared" si="26"/>
        <v>306960.86604925193</v>
      </c>
      <c r="AR25" s="7">
        <v>0.52871000000000001</v>
      </c>
      <c r="AS25" s="7">
        <v>0.31132000000000004</v>
      </c>
      <c r="AT25" s="7">
        <v>0.54583999999999999</v>
      </c>
      <c r="AU25" s="7">
        <v>0.39524000000000004</v>
      </c>
      <c r="AV25" s="7">
        <v>0.57164999999999999</v>
      </c>
      <c r="AW25" s="7">
        <v>0.66626999999999992</v>
      </c>
      <c r="AX25" s="7">
        <v>0.46542</v>
      </c>
      <c r="AY25" s="7">
        <v>1.6692199999999999</v>
      </c>
      <c r="AZ25" s="7">
        <v>0.90061000000000002</v>
      </c>
      <c r="BA25" s="7">
        <v>0.30281999999999998</v>
      </c>
      <c r="BB25" s="7">
        <v>0.36310000000000003</v>
      </c>
      <c r="BC25" s="7">
        <v>0.61012999999999995</v>
      </c>
      <c r="BD25" s="7">
        <v>0.36310000000000003</v>
      </c>
      <c r="BE25" s="7">
        <v>0.61012999999999995</v>
      </c>
      <c r="BF25" s="7">
        <v>0.51937</v>
      </c>
      <c r="BG25" s="7">
        <v>-0.54922879457605056</v>
      </c>
      <c r="BH25" s="7">
        <f>LN(AG25)-BG25</f>
        <v>13.438119710660956</v>
      </c>
      <c r="BI25" s="7">
        <f>LN(AR25/$BF25)</f>
        <v>1.7823538772772162E-2</v>
      </c>
      <c r="BJ25" s="7">
        <f>LN(AS25/$BF25)</f>
        <v>-0.51179521651671023</v>
      </c>
      <c r="BK25" s="7">
        <f>LN(AT25/$BF25)</f>
        <v>4.970935389927026E-2</v>
      </c>
      <c r="BL25" s="7">
        <f>LN(AU25/$BF25)</f>
        <v>-0.27312336328113568</v>
      </c>
      <c r="BM25" s="7">
        <f>LN(AV25/$BF25)</f>
        <v>9.5910377380081013E-2</v>
      </c>
      <c r="BN25" s="7">
        <f>LN(AW25/$BF25)</f>
        <v>0.24907845518332838</v>
      </c>
      <c r="BO25" s="7">
        <f>LN(AX25/$BF25)</f>
        <v>-0.1096763148770626</v>
      </c>
      <c r="BP25" s="7">
        <f>LN(AY25/$BF25)</f>
        <v>1.1674951918254013</v>
      </c>
      <c r="BQ25" s="7">
        <f>LN(AZ25/$BF25)</f>
        <v>0.55045577290656633</v>
      </c>
      <c r="BR25" s="7">
        <f>LN(BA25/$BF25)</f>
        <v>-0.53947796902767198</v>
      </c>
      <c r="BS25" s="7">
        <f>LN(BB25/$BF25)</f>
        <v>-0.3579382601876076</v>
      </c>
      <c r="BT25" s="7">
        <f>LN(BC25/$BF25)</f>
        <v>0.1610555106078341</v>
      </c>
      <c r="BU25" s="7">
        <f>LN(BD25/$BF25)</f>
        <v>-0.3579382601876076</v>
      </c>
      <c r="BV25" s="7">
        <f t="shared" si="22"/>
        <v>0.1610555106078341</v>
      </c>
    </row>
    <row r="26" spans="1:74" x14ac:dyDescent="0.2">
      <c r="A26" s="4">
        <f t="shared" si="15"/>
        <v>0.1576789026752678</v>
      </c>
      <c r="B26" s="4">
        <f t="shared" si="1"/>
        <v>3.7286003620363495E-2</v>
      </c>
      <c r="C26" s="4">
        <f t="shared" si="2"/>
        <v>7.2698787029470982E-2</v>
      </c>
      <c r="D26" s="4">
        <f t="shared" si="3"/>
        <v>0.10980294966792542</v>
      </c>
      <c r="E26" s="4">
        <f t="shared" si="4"/>
        <v>8.7860709336573181E-2</v>
      </c>
      <c r="F26" s="4">
        <f t="shared" si="5"/>
        <v>6.8474683090670507E-2</v>
      </c>
      <c r="G26" s="4">
        <f t="shared" si="6"/>
        <v>2.4514824623960822E-2</v>
      </c>
      <c r="H26" s="4">
        <f t="shared" si="7"/>
        <v>0.13099844796020374</v>
      </c>
      <c r="I26" s="4">
        <f t="shared" si="8"/>
        <v>1.8989628818124885E-2</v>
      </c>
      <c r="J26" s="4">
        <f t="shared" si="9"/>
        <v>1.9399346964852428E-2</v>
      </c>
      <c r="K26" s="4">
        <f t="shared" si="10"/>
        <v>8.6449137283983762E-2</v>
      </c>
      <c r="L26" s="4">
        <f t="shared" si="11"/>
        <v>5.0732588809843148E-3</v>
      </c>
      <c r="M26" s="4">
        <f t="shared" si="12"/>
        <v>5.6881879011244821E-2</v>
      </c>
      <c r="N26" s="4">
        <f t="shared" si="13"/>
        <v>0.12389144103637403</v>
      </c>
      <c r="O26" s="5">
        <v>1983</v>
      </c>
      <c r="P26" s="6">
        <v>56877.345000000001</v>
      </c>
      <c r="Q26" s="6">
        <v>13449.668</v>
      </c>
      <c r="R26" s="6">
        <v>26223.634999999998</v>
      </c>
      <c r="S26" s="6">
        <v>39607.709999999992</v>
      </c>
      <c r="T26" s="6">
        <v>31692.787000000011</v>
      </c>
      <c r="U26" s="6">
        <v>24699.932000000001</v>
      </c>
      <c r="V26" s="6">
        <v>8842.8960000000006</v>
      </c>
      <c r="W26" s="6">
        <v>47253.271000000001</v>
      </c>
      <c r="X26" s="6">
        <v>6849.8680000000004</v>
      </c>
      <c r="Y26" s="6">
        <v>6997.66</v>
      </c>
      <c r="Z26" s="6">
        <v>31183.61</v>
      </c>
      <c r="AA26" s="6">
        <v>1830.0070000000001</v>
      </c>
      <c r="AB26" s="6">
        <v>20518.219000000001</v>
      </c>
      <c r="AC26" s="6">
        <v>44689.658000000003</v>
      </c>
      <c r="AD26" s="6">
        <v>360716.26599999995</v>
      </c>
      <c r="AE26" s="6">
        <v>101509.486</v>
      </c>
      <c r="AF26" s="6">
        <f t="shared" si="16"/>
        <v>259206.77999999994</v>
      </c>
      <c r="AG26" s="6">
        <v>433335.4</v>
      </c>
      <c r="AH26" s="6">
        <f t="shared" si="17"/>
        <v>174128.62000000008</v>
      </c>
      <c r="AI26" s="7">
        <v>0.56901000000000002</v>
      </c>
      <c r="AJ26" s="6">
        <v>54772.419000000002</v>
      </c>
      <c r="AK26" s="4">
        <f t="shared" si="18"/>
        <v>0.28141089151771165</v>
      </c>
      <c r="AL26" s="4">
        <f t="shared" si="19"/>
        <v>0.7185891084822883</v>
      </c>
      <c r="AM26" s="6">
        <f t="shared" si="20"/>
        <v>633936.60216867877</v>
      </c>
      <c r="AN26" s="6">
        <f t="shared" si="23"/>
        <v>178396.66438199682</v>
      </c>
      <c r="AO26" s="6">
        <f t="shared" si="24"/>
        <v>455539.93778668204</v>
      </c>
      <c r="AP26" s="6">
        <f t="shared" si="25"/>
        <v>761560.25377409894</v>
      </c>
      <c r="AQ26" s="6">
        <f t="shared" si="26"/>
        <v>306020.31598741689</v>
      </c>
      <c r="AR26" s="7">
        <v>0.57833000000000001</v>
      </c>
      <c r="AS26" s="7">
        <v>0.34131999999999996</v>
      </c>
      <c r="AT26" s="7">
        <v>0.60110999999999992</v>
      </c>
      <c r="AU26" s="7">
        <v>0.43414000000000003</v>
      </c>
      <c r="AV26" s="7">
        <v>0.62304999999999999</v>
      </c>
      <c r="AW26" s="7">
        <v>0.71967000000000003</v>
      </c>
      <c r="AX26" s="7">
        <v>0.50588</v>
      </c>
      <c r="AY26" s="7">
        <v>1.76431</v>
      </c>
      <c r="AZ26" s="7">
        <v>0.97010999999999992</v>
      </c>
      <c r="BA26" s="7">
        <v>0.33613999999999999</v>
      </c>
      <c r="BB26" s="7">
        <v>0.40581</v>
      </c>
      <c r="BC26" s="7">
        <v>0.68070999999999993</v>
      </c>
      <c r="BD26" s="7">
        <v>0.40581</v>
      </c>
      <c r="BE26" s="7">
        <v>0.68070999999999993</v>
      </c>
      <c r="BF26" s="7">
        <v>0.56901000000000002</v>
      </c>
      <c r="BG26" s="7">
        <v>-0.46206632612381499</v>
      </c>
      <c r="BH26" s="7">
        <f>LN(AG26)-BG26</f>
        <v>13.441333629106866</v>
      </c>
      <c r="BI26" s="7">
        <f>LN(AR26/$BF26)</f>
        <v>1.624663134313829E-2</v>
      </c>
      <c r="BJ26" s="7">
        <f>LN(AS26/$BF26)</f>
        <v>-0.51107755499595675</v>
      </c>
      <c r="BK26" s="7">
        <f>LN(AT26/$BF26)</f>
        <v>5.4879937409423075E-2</v>
      </c>
      <c r="BL26" s="7">
        <f>LN(AU26/$BF26)</f>
        <v>-0.27053094593672444</v>
      </c>
      <c r="BM26" s="7">
        <f>LN(AV26/$BF26)</f>
        <v>9.0728763724535838E-2</v>
      </c>
      <c r="BN26" s="7">
        <f>LN(AW26/$BF26)</f>
        <v>0.23489476494559969</v>
      </c>
      <c r="BO26" s="7">
        <f>LN(AX26/$BF26)</f>
        <v>-0.11759852165256514</v>
      </c>
      <c r="BP26" s="7">
        <f>LN(AY26/$BF26)</f>
        <v>1.1316169494239161</v>
      </c>
      <c r="BQ26" s="7">
        <f>LN(AZ26/$BF26)</f>
        <v>0.53351145846541559</v>
      </c>
      <c r="BR26" s="7">
        <f>LN(BA26/$BF26)</f>
        <v>-0.52637026881592031</v>
      </c>
      <c r="BS26" s="7">
        <f>LN(BB26/$BF26)</f>
        <v>-0.33801293889512846</v>
      </c>
      <c r="BT26" s="7">
        <f>LN(BC26/$BF26)</f>
        <v>0.17923836244116892</v>
      </c>
      <c r="BU26" s="7">
        <f>LN(BD26/$BF26)</f>
        <v>-0.33801293889512846</v>
      </c>
      <c r="BV26" s="7">
        <f t="shared" si="22"/>
        <v>0.17923836244116892</v>
      </c>
    </row>
    <row r="27" spans="1:74" x14ac:dyDescent="0.2">
      <c r="A27" s="4">
        <f t="shared" si="15"/>
        <v>0.15986481098130936</v>
      </c>
      <c r="B27" s="4">
        <f t="shared" si="1"/>
        <v>3.6058684860132952E-2</v>
      </c>
      <c r="C27" s="4">
        <f t="shared" si="2"/>
        <v>7.1892776280601395E-2</v>
      </c>
      <c r="D27" s="4">
        <f t="shared" si="3"/>
        <v>0.11397582619949546</v>
      </c>
      <c r="E27" s="4">
        <f t="shared" si="4"/>
        <v>8.9907755235977563E-2</v>
      </c>
      <c r="F27" s="4">
        <f t="shared" si="5"/>
        <v>6.5434322740044251E-2</v>
      </c>
      <c r="G27" s="4">
        <f t="shared" si="6"/>
        <v>2.5553990697777171E-2</v>
      </c>
      <c r="H27" s="4">
        <f t="shared" si="7"/>
        <v>0.12533708630874765</v>
      </c>
      <c r="I27" s="4">
        <f t="shared" si="8"/>
        <v>1.8854991943411524E-2</v>
      </c>
      <c r="J27" s="4">
        <f t="shared" si="9"/>
        <v>2.0699497982230489E-2</v>
      </c>
      <c r="K27" s="4">
        <f t="shared" si="10"/>
        <v>8.5601420707495782E-2</v>
      </c>
      <c r="L27" s="4">
        <f t="shared" si="11"/>
        <v>5.2764224911802642E-3</v>
      </c>
      <c r="M27" s="4">
        <f t="shared" si="12"/>
        <v>5.6111208738527596E-2</v>
      </c>
      <c r="N27" s="4">
        <f t="shared" si="13"/>
        <v>0.12543120483306866</v>
      </c>
      <c r="O27" s="5">
        <v>1984</v>
      </c>
      <c r="P27" s="6">
        <v>62756.245000000003</v>
      </c>
      <c r="Q27" s="6">
        <v>14155.133</v>
      </c>
      <c r="R27" s="6">
        <v>28222.1</v>
      </c>
      <c r="S27" s="6">
        <v>44742.146999999997</v>
      </c>
      <c r="T27" s="6">
        <v>35294.028000000006</v>
      </c>
      <c r="U27" s="6">
        <v>25686.780999999999</v>
      </c>
      <c r="V27" s="6">
        <v>10031.429</v>
      </c>
      <c r="W27" s="6">
        <v>49202.103000000003</v>
      </c>
      <c r="X27" s="6">
        <v>7401.6819999999998</v>
      </c>
      <c r="Y27" s="6">
        <v>8125.7579999999998</v>
      </c>
      <c r="Z27" s="6">
        <v>33603.540999999997</v>
      </c>
      <c r="AA27" s="6">
        <v>2071.3029999999999</v>
      </c>
      <c r="AB27" s="6">
        <v>22026.916000000001</v>
      </c>
      <c r="AC27" s="6">
        <v>49239.05</v>
      </c>
      <c r="AD27" s="6">
        <v>392558.21599999996</v>
      </c>
      <c r="AE27" s="6">
        <v>114727.037</v>
      </c>
      <c r="AF27" s="6">
        <f t="shared" si="16"/>
        <v>277831.17899999995</v>
      </c>
      <c r="AG27" s="6">
        <v>462165.4</v>
      </c>
      <c r="AH27" s="6">
        <f t="shared" si="17"/>
        <v>184334.22100000008</v>
      </c>
      <c r="AI27" s="7">
        <v>0.61399999999999999</v>
      </c>
      <c r="AJ27" s="6">
        <v>55026.078500000003</v>
      </c>
      <c r="AK27" s="4">
        <f t="shared" si="18"/>
        <v>0.29225483590438983</v>
      </c>
      <c r="AL27" s="4">
        <f t="shared" si="19"/>
        <v>0.70774516409561017</v>
      </c>
      <c r="AM27" s="6">
        <f t="shared" si="20"/>
        <v>639345.62866449507</v>
      </c>
      <c r="AN27" s="6">
        <f t="shared" si="23"/>
        <v>186851.85179153093</v>
      </c>
      <c r="AO27" s="6">
        <f t="shared" si="24"/>
        <v>452493.77687296411</v>
      </c>
      <c r="AP27" s="6">
        <f t="shared" si="25"/>
        <v>752712.37785016291</v>
      </c>
      <c r="AQ27" s="6">
        <f t="shared" si="26"/>
        <v>300218.6009771988</v>
      </c>
      <c r="AR27" s="7">
        <v>0.62219000000000002</v>
      </c>
      <c r="AS27" s="7">
        <v>0.36162999999999995</v>
      </c>
      <c r="AT27" s="7">
        <v>0.66224999999999989</v>
      </c>
      <c r="AU27" s="7">
        <v>0.46814999999999996</v>
      </c>
      <c r="AV27" s="7">
        <v>0.66780000000000006</v>
      </c>
      <c r="AW27" s="7">
        <v>0.75272000000000006</v>
      </c>
      <c r="AX27" s="7">
        <v>0.54468000000000005</v>
      </c>
      <c r="AY27" s="7">
        <v>1.9656200000000001</v>
      </c>
      <c r="AZ27" s="7">
        <v>1.0384500000000001</v>
      </c>
      <c r="BA27" s="7">
        <v>0.36237000000000003</v>
      </c>
      <c r="BB27" s="7">
        <v>0.43508999999999998</v>
      </c>
      <c r="BC27" s="7">
        <v>0.74498999999999993</v>
      </c>
      <c r="BD27" s="7">
        <v>0.43508999999999998</v>
      </c>
      <c r="BE27" s="7">
        <v>0.74498999999999993</v>
      </c>
      <c r="BF27" s="7">
        <v>0.61399999999999999</v>
      </c>
      <c r="BG27" s="7">
        <v>-0.39108886056090891</v>
      </c>
      <c r="BH27" s="7">
        <f>LN(AG27)-BG27</f>
        <v>13.434766975212986</v>
      </c>
      <c r="BI27" s="7">
        <f>LN(AR27/$BF27)</f>
        <v>1.3250584184666798E-2</v>
      </c>
      <c r="BJ27" s="7">
        <f>LN(AS27/$BF27)</f>
        <v>-0.52937333846872348</v>
      </c>
      <c r="BK27" s="7">
        <f>LN(AT27/$BF27)</f>
        <v>7.5648200005036498E-2</v>
      </c>
      <c r="BL27" s="7">
        <f>LN(AU27/$BF27)</f>
        <v>-0.27120617076224451</v>
      </c>
      <c r="BM27" s="7">
        <f>LN(AV27/$BF27)</f>
        <v>8.3993799362411803E-2</v>
      </c>
      <c r="BN27" s="7">
        <f>LN(AW27/$BF27)</f>
        <v>0.20369838455136782</v>
      </c>
      <c r="BO27" s="7">
        <f>LN(AX27/$BF27)</f>
        <v>-0.11979646189076779</v>
      </c>
      <c r="BP27" s="7">
        <f>LN(AY27/$BF27)</f>
        <v>1.163568068018237</v>
      </c>
      <c r="BQ27" s="7">
        <f>LN(AZ27/$BF27)</f>
        <v>0.52548956764500176</v>
      </c>
      <c r="BR27" s="7">
        <f>LN(BA27/$BF27)</f>
        <v>-0.52732913886184574</v>
      </c>
      <c r="BS27" s="7">
        <f>LN(BB27/$BF27)</f>
        <v>-0.34444202190687417</v>
      </c>
      <c r="BT27" s="7">
        <f>LN(BC27/$BF27)</f>
        <v>0.19337586732353818</v>
      </c>
      <c r="BU27" s="7">
        <f>LN(BD27/$BF27)</f>
        <v>-0.34444202190687417</v>
      </c>
      <c r="BV27" s="7">
        <f t="shared" si="22"/>
        <v>0.19337586732353818</v>
      </c>
    </row>
    <row r="28" spans="1:74" x14ac:dyDescent="0.2">
      <c r="A28" s="4">
        <f t="shared" si="15"/>
        <v>0.15757852477105996</v>
      </c>
      <c r="B28" s="4">
        <f t="shared" si="1"/>
        <v>3.4929068667743327E-2</v>
      </c>
      <c r="C28" s="4">
        <f t="shared" si="2"/>
        <v>7.145730618109257E-2</v>
      </c>
      <c r="D28" s="4">
        <f t="shared" si="3"/>
        <v>0.11795978110717528</v>
      </c>
      <c r="E28" s="4">
        <f t="shared" si="4"/>
        <v>8.8870966430772233E-2</v>
      </c>
      <c r="F28" s="4">
        <f t="shared" si="5"/>
        <v>6.372790141738878E-2</v>
      </c>
      <c r="G28" s="4">
        <f t="shared" si="6"/>
        <v>2.669730777793072E-2</v>
      </c>
      <c r="H28" s="4">
        <f t="shared" si="7"/>
        <v>0.1255786092790831</v>
      </c>
      <c r="I28" s="4">
        <f t="shared" si="8"/>
        <v>1.8845644652572262E-2</v>
      </c>
      <c r="J28" s="4">
        <f t="shared" si="9"/>
        <v>2.1390217579037571E-2</v>
      </c>
      <c r="K28" s="4">
        <f t="shared" si="10"/>
        <v>8.4102958599381494E-2</v>
      </c>
      <c r="L28" s="4">
        <f t="shared" si="11"/>
        <v>5.5038086607271559E-3</v>
      </c>
      <c r="M28" s="4">
        <f t="shared" si="12"/>
        <v>5.6093021994594962E-2</v>
      </c>
      <c r="N28" s="4">
        <f t="shared" si="13"/>
        <v>0.1272648828814405</v>
      </c>
      <c r="O28" s="5">
        <v>1985</v>
      </c>
      <c r="P28" s="6">
        <v>66933.748000000007</v>
      </c>
      <c r="Q28" s="6">
        <v>14836.625</v>
      </c>
      <c r="R28" s="6">
        <v>30352.52</v>
      </c>
      <c r="S28" s="6">
        <v>50105.115999999995</v>
      </c>
      <c r="T28" s="6">
        <v>37749.223000000013</v>
      </c>
      <c r="U28" s="6">
        <v>27069.344000000001</v>
      </c>
      <c r="V28" s="6">
        <v>11340.066000000001</v>
      </c>
      <c r="W28" s="6">
        <v>53341.322999999997</v>
      </c>
      <c r="X28" s="6">
        <v>8004.9589999999998</v>
      </c>
      <c r="Y28" s="6">
        <v>9085.8029999999999</v>
      </c>
      <c r="Z28" s="6">
        <v>35723.942999999999</v>
      </c>
      <c r="AA28" s="6">
        <v>2337.8220000000001</v>
      </c>
      <c r="AB28" s="6">
        <v>23826.319</v>
      </c>
      <c r="AC28" s="6">
        <v>54057.591999999997</v>
      </c>
      <c r="AD28" s="6">
        <v>424764.40300000005</v>
      </c>
      <c r="AE28" s="6">
        <v>126706.211</v>
      </c>
      <c r="AF28" s="6">
        <f t="shared" si="16"/>
        <v>298058.19200000004</v>
      </c>
      <c r="AG28" s="6">
        <v>494454.5</v>
      </c>
      <c r="AH28" s="6">
        <f t="shared" si="17"/>
        <v>196396.30799999996</v>
      </c>
      <c r="AI28" s="7">
        <v>0.65205000000000002</v>
      </c>
      <c r="AJ28" s="6">
        <v>55284.270499999999</v>
      </c>
      <c r="AK28" s="4">
        <f t="shared" si="18"/>
        <v>0.29829762123451758</v>
      </c>
      <c r="AL28" s="4">
        <f t="shared" si="19"/>
        <v>0.70170237876548236</v>
      </c>
      <c r="AM28" s="6">
        <f t="shared" si="20"/>
        <v>651429.18947933451</v>
      </c>
      <c r="AN28" s="6">
        <f t="shared" si="23"/>
        <v>194319.77762441529</v>
      </c>
      <c r="AO28" s="6">
        <f t="shared" si="24"/>
        <v>457109.41185491916</v>
      </c>
      <c r="AP28" s="6">
        <f t="shared" si="25"/>
        <v>758307.64511923934</v>
      </c>
      <c r="AQ28" s="6">
        <f t="shared" si="26"/>
        <v>301198.23326432018</v>
      </c>
      <c r="AR28" s="7">
        <v>0.65510999999999997</v>
      </c>
      <c r="AS28" s="7">
        <v>0.37133000000000005</v>
      </c>
      <c r="AT28" s="7">
        <v>0.71692999999999996</v>
      </c>
      <c r="AU28" s="7">
        <v>0.49723000000000001</v>
      </c>
      <c r="AV28" s="7">
        <v>0.70358999999999994</v>
      </c>
      <c r="AW28" s="7">
        <v>0.77997000000000005</v>
      </c>
      <c r="AX28" s="7">
        <v>0.58545999999999998</v>
      </c>
      <c r="AY28" s="7">
        <v>2.10555</v>
      </c>
      <c r="AZ28" s="7">
        <v>1.09137</v>
      </c>
      <c r="BA28" s="7">
        <v>0.38249</v>
      </c>
      <c r="BB28" s="7">
        <v>0.46270000000000006</v>
      </c>
      <c r="BC28" s="7">
        <v>0.79894999999999994</v>
      </c>
      <c r="BD28" s="7">
        <v>0.46270000000000006</v>
      </c>
      <c r="BE28" s="7">
        <v>0.79894999999999994</v>
      </c>
      <c r="BF28" s="7">
        <v>0.65205000000000002</v>
      </c>
      <c r="BG28" s="7">
        <v>-0.33207476273647424</v>
      </c>
      <c r="BH28" s="7">
        <f>LN(AG28)-BG28</f>
        <v>13.443285176414534</v>
      </c>
      <c r="BI28" s="7">
        <f>LN(AR28/$BF28)</f>
        <v>4.6819143634751047E-3</v>
      </c>
      <c r="BJ28" s="7">
        <f>LN(AS28/$BF28)</f>
        <v>-0.56303009098476375</v>
      </c>
      <c r="BK28" s="7">
        <f>LN(AT28/$BF28)</f>
        <v>9.4856960720924671E-2</v>
      </c>
      <c r="BL28" s="7">
        <f>LN(AU28/$BF28)</f>
        <v>-0.27106855039441585</v>
      </c>
      <c r="BM28" s="7">
        <f>LN(AV28/$BF28)</f>
        <v>7.6074554038684794E-2</v>
      </c>
      <c r="BN28" s="7">
        <f>LN(AW28/$BF28)</f>
        <v>0.17913421130260121</v>
      </c>
      <c r="BO28" s="7">
        <f>LN(AX28/$BF28)</f>
        <v>-0.10772338307609661</v>
      </c>
      <c r="BP28" s="7">
        <f>LN(AY28/$BF28)</f>
        <v>1.172210748545534</v>
      </c>
      <c r="BQ28" s="7">
        <f>LN(AZ28/$BF28)</f>
        <v>0.51506782064086254</v>
      </c>
      <c r="BR28" s="7">
        <f>LN(BA28/$BF28)</f>
        <v>-0.53341873696892472</v>
      </c>
      <c r="BS28" s="7">
        <f>LN(BB28/$BF28)</f>
        <v>-0.34304235018995682</v>
      </c>
      <c r="BT28" s="7">
        <f>LN(BC28/$BF28)</f>
        <v>0.20317711948248671</v>
      </c>
      <c r="BU28" s="7">
        <f>LN(BD28/$BF28)</f>
        <v>-0.34304235018995682</v>
      </c>
      <c r="BV28" s="7">
        <f t="shared" si="22"/>
        <v>0.20317711948248671</v>
      </c>
    </row>
    <row r="29" spans="1:74" x14ac:dyDescent="0.2">
      <c r="A29" s="4">
        <f t="shared" si="15"/>
        <v>0.15550211977828077</v>
      </c>
      <c r="B29" s="4">
        <f t="shared" si="1"/>
        <v>3.4988180745842111E-2</v>
      </c>
      <c r="C29" s="4">
        <f t="shared" si="2"/>
        <v>7.3170177636495859E-2</v>
      </c>
      <c r="D29" s="4">
        <f t="shared" si="3"/>
        <v>0.10301649456767847</v>
      </c>
      <c r="E29" s="4">
        <f t="shared" si="4"/>
        <v>9.9268857431131938E-2</v>
      </c>
      <c r="F29" s="4">
        <f t="shared" si="5"/>
        <v>6.4316204556598852E-2</v>
      </c>
      <c r="G29" s="4">
        <f t="shared" si="6"/>
        <v>2.8019537699168439E-2</v>
      </c>
      <c r="H29" s="4">
        <f t="shared" si="7"/>
        <v>0.12549748971229072</v>
      </c>
      <c r="I29" s="4">
        <f t="shared" si="8"/>
        <v>1.7982664576466117E-2</v>
      </c>
      <c r="J29" s="4">
        <f t="shared" si="9"/>
        <v>2.0991403596779951E-2</v>
      </c>
      <c r="K29" s="4">
        <f t="shared" si="10"/>
        <v>8.5322880636351475E-2</v>
      </c>
      <c r="L29" s="4">
        <f t="shared" si="11"/>
        <v>5.7203598344235766E-3</v>
      </c>
      <c r="M29" s="4">
        <f t="shared" si="12"/>
        <v>5.6357309414453244E-2</v>
      </c>
      <c r="N29" s="4">
        <f t="shared" si="13"/>
        <v>0.12984631981403841</v>
      </c>
      <c r="O29" s="5">
        <v>1986</v>
      </c>
      <c r="P29" s="6">
        <v>70122.395999999993</v>
      </c>
      <c r="Q29" s="6">
        <v>15777.630999999999</v>
      </c>
      <c r="R29" s="6">
        <v>32995.487000000001</v>
      </c>
      <c r="S29" s="6">
        <v>46454.436999999998</v>
      </c>
      <c r="T29" s="6">
        <v>44764.470999999998</v>
      </c>
      <c r="U29" s="6">
        <v>29002.861000000001</v>
      </c>
      <c r="V29" s="6">
        <v>12635.179</v>
      </c>
      <c r="W29" s="6">
        <v>56592.056000000004</v>
      </c>
      <c r="X29" s="6">
        <v>8109.134</v>
      </c>
      <c r="Y29" s="6">
        <v>9465.9</v>
      </c>
      <c r="Z29" s="6">
        <v>38475.648000000001</v>
      </c>
      <c r="AA29" s="6">
        <v>2579.549</v>
      </c>
      <c r="AB29" s="6">
        <v>25413.863000000001</v>
      </c>
      <c r="AC29" s="6">
        <v>58553.125</v>
      </c>
      <c r="AD29" s="6">
        <v>450941.73700000002</v>
      </c>
      <c r="AE29" s="6">
        <v>132962.58900000001</v>
      </c>
      <c r="AF29" s="6">
        <f t="shared" si="16"/>
        <v>317979.14800000004</v>
      </c>
      <c r="AG29" s="6">
        <v>520851.3</v>
      </c>
      <c r="AH29" s="6">
        <f t="shared" si="17"/>
        <v>202872.15199999994</v>
      </c>
      <c r="AI29" s="7">
        <v>0.66965000000000008</v>
      </c>
      <c r="AJ29" s="6">
        <v>55546.508999999998</v>
      </c>
      <c r="AK29" s="4">
        <f t="shared" si="18"/>
        <v>0.2948553617692744</v>
      </c>
      <c r="AL29" s="4">
        <f t="shared" si="19"/>
        <v>0.7051446382307256</v>
      </c>
      <c r="AM29" s="6">
        <f t="shared" si="20"/>
        <v>673399.14432912716</v>
      </c>
      <c r="AN29" s="6">
        <f t="shared" si="23"/>
        <v>198555.34831628462</v>
      </c>
      <c r="AO29" s="6">
        <f t="shared" si="24"/>
        <v>474843.79601284256</v>
      </c>
      <c r="AP29" s="6">
        <f t="shared" si="25"/>
        <v>777796.31150601048</v>
      </c>
      <c r="AQ29" s="6">
        <f t="shared" si="26"/>
        <v>302952.51549316797</v>
      </c>
      <c r="AR29" s="7">
        <v>0.67236000000000007</v>
      </c>
      <c r="AS29" s="7">
        <v>0.39018000000000003</v>
      </c>
      <c r="AT29" s="7">
        <v>0.75614000000000003</v>
      </c>
      <c r="AU29" s="7">
        <v>0.50148000000000004</v>
      </c>
      <c r="AV29" s="7">
        <v>0.73185</v>
      </c>
      <c r="AW29" s="7">
        <v>0.80266000000000004</v>
      </c>
      <c r="AX29" s="7">
        <v>0.58567999999999998</v>
      </c>
      <c r="AY29" s="7">
        <v>2.1385700000000001</v>
      </c>
      <c r="AZ29" s="7">
        <v>1.1304099999999999</v>
      </c>
      <c r="BA29" s="7">
        <v>0.40518999999999999</v>
      </c>
      <c r="BB29" s="7">
        <v>0.48470999999999997</v>
      </c>
      <c r="BC29" s="7">
        <v>0.83495999999999992</v>
      </c>
      <c r="BD29" s="7">
        <v>0.48470999999999997</v>
      </c>
      <c r="BE29" s="7">
        <v>0.83495999999999992</v>
      </c>
      <c r="BF29" s="7">
        <v>0.66965000000000008</v>
      </c>
      <c r="BG29" s="7">
        <v>-0.2947513065566677</v>
      </c>
      <c r="BH29" s="7">
        <f>LN(AG29)-BG29</f>
        <v>13.457971173886278</v>
      </c>
      <c r="BI29" s="7">
        <f>LN(AR29/$BF29)</f>
        <v>4.0387235320623891E-3</v>
      </c>
      <c r="BJ29" s="7">
        <f>LN(AS29/$BF29)</f>
        <v>-0.54014701672401566</v>
      </c>
      <c r="BK29" s="7">
        <f>LN(AT29/$BF29)</f>
        <v>0.12147135638692712</v>
      </c>
      <c r="BL29" s="7">
        <f>LN(AU29/$BF29)</f>
        <v>-0.28919146158530679</v>
      </c>
      <c r="BM29" s="7">
        <f>LN(AV29/$BF29)</f>
        <v>8.8820387096824646E-2</v>
      </c>
      <c r="BN29" s="7">
        <f>LN(AW29/$BF29)</f>
        <v>0.18117602424513812</v>
      </c>
      <c r="BO29" s="7">
        <f>LN(AX29/$BF29)</f>
        <v>-0.13398162249474402</v>
      </c>
      <c r="BP29" s="7">
        <f>LN(AY29/$BF29)</f>
        <v>1.1611374725223345</v>
      </c>
      <c r="BQ29" s="7">
        <f>LN(AZ29/$BF29)</f>
        <v>0.52358048992410089</v>
      </c>
      <c r="BR29" s="7">
        <f>LN(BA29/$BF29)</f>
        <v>-0.50239909493391843</v>
      </c>
      <c r="BS29" s="7">
        <f>LN(BB29/$BF29)</f>
        <v>-0.32320441387628251</v>
      </c>
      <c r="BT29" s="7">
        <f>LN(BC29/$BF29)</f>
        <v>0.220628631678665</v>
      </c>
      <c r="BU29" s="7">
        <f>LN(BD29/$BF29)</f>
        <v>-0.32320441387628251</v>
      </c>
      <c r="BV29" s="7">
        <f t="shared" si="22"/>
        <v>0.220628631678665</v>
      </c>
    </row>
    <row r="30" spans="1:74" x14ac:dyDescent="0.2">
      <c r="A30" s="4">
        <f t="shared" si="15"/>
        <v>0.15266035856542517</v>
      </c>
      <c r="B30" s="4">
        <f t="shared" si="1"/>
        <v>3.3995169404320819E-2</v>
      </c>
      <c r="C30" s="4">
        <f t="shared" si="2"/>
        <v>7.1604382542848025E-2</v>
      </c>
      <c r="D30" s="4">
        <f t="shared" si="3"/>
        <v>9.16743897539853E-2</v>
      </c>
      <c r="E30" s="4">
        <f t="shared" si="4"/>
        <v>0.10890411274882941</v>
      </c>
      <c r="F30" s="4">
        <f t="shared" si="5"/>
        <v>6.3885873028248691E-2</v>
      </c>
      <c r="G30" s="4">
        <f t="shared" si="6"/>
        <v>2.825667181539155E-2</v>
      </c>
      <c r="H30" s="4">
        <f t="shared" si="7"/>
        <v>0.1293953885669501</v>
      </c>
      <c r="I30" s="4">
        <f t="shared" si="8"/>
        <v>1.7756596301455808E-2</v>
      </c>
      <c r="J30" s="4">
        <f t="shared" si="9"/>
        <v>2.1413954870951539E-2</v>
      </c>
      <c r="K30" s="4">
        <f t="shared" si="10"/>
        <v>8.5820643391257279E-2</v>
      </c>
      <c r="L30" s="4">
        <f t="shared" si="11"/>
        <v>6.2435986674895449E-3</v>
      </c>
      <c r="M30" s="4">
        <f t="shared" si="12"/>
        <v>5.6952247116249612E-2</v>
      </c>
      <c r="N30" s="4">
        <f t="shared" si="13"/>
        <v>0.13143661322659725</v>
      </c>
      <c r="O30" s="5">
        <v>1987</v>
      </c>
      <c r="P30" s="6">
        <v>73132.043999999994</v>
      </c>
      <c r="Q30" s="6">
        <v>16285.407999999999</v>
      </c>
      <c r="R30" s="6">
        <v>34302.125999999997</v>
      </c>
      <c r="S30" s="6">
        <v>43916.675999999992</v>
      </c>
      <c r="T30" s="6">
        <v>52170.58600000001</v>
      </c>
      <c r="U30" s="6">
        <v>30604.569</v>
      </c>
      <c r="V30" s="6">
        <v>13536.377</v>
      </c>
      <c r="W30" s="6">
        <v>61986.945000000007</v>
      </c>
      <c r="X30" s="6">
        <v>8506.3089999999993</v>
      </c>
      <c r="Y30" s="6">
        <v>10258.369000000001</v>
      </c>
      <c r="Z30" s="6">
        <v>41112.434999999998</v>
      </c>
      <c r="AA30" s="6">
        <v>2991</v>
      </c>
      <c r="AB30" s="6">
        <v>27283.010999999999</v>
      </c>
      <c r="AC30" s="6">
        <v>62964.794999999998</v>
      </c>
      <c r="AD30" s="6">
        <v>479050.64999999997</v>
      </c>
      <c r="AE30" s="6">
        <v>140978.54999999999</v>
      </c>
      <c r="AF30" s="6">
        <f t="shared" si="16"/>
        <v>338072.1</v>
      </c>
      <c r="AG30" s="6">
        <v>543642.9</v>
      </c>
      <c r="AH30" s="6">
        <f t="shared" si="17"/>
        <v>205570.80000000005</v>
      </c>
      <c r="AI30" s="7">
        <v>0.68972999999999995</v>
      </c>
      <c r="AJ30" s="6">
        <v>55823.961000000003</v>
      </c>
      <c r="AK30" s="4">
        <f t="shared" si="18"/>
        <v>0.29428735771468006</v>
      </c>
      <c r="AL30" s="4">
        <f t="shared" si="19"/>
        <v>0.70571264228531994</v>
      </c>
      <c r="AM30" s="6">
        <f t="shared" si="20"/>
        <v>694548.08403288247</v>
      </c>
      <c r="AN30" s="6">
        <f t="shared" si="23"/>
        <v>204396.72045583054</v>
      </c>
      <c r="AO30" s="6">
        <f t="shared" si="24"/>
        <v>490151.3635770519</v>
      </c>
      <c r="AP30" s="6">
        <f t="shared" si="25"/>
        <v>788196.68565960601</v>
      </c>
      <c r="AQ30" s="6">
        <f t="shared" si="26"/>
        <v>298045.32208255411</v>
      </c>
      <c r="AR30" s="7">
        <v>0.68090000000000006</v>
      </c>
      <c r="AS30" s="7">
        <v>0.40137999999999996</v>
      </c>
      <c r="AT30" s="7">
        <v>0.79034000000000004</v>
      </c>
      <c r="AU30" s="7">
        <v>0.51527000000000001</v>
      </c>
      <c r="AV30" s="7">
        <v>0.75349999999999995</v>
      </c>
      <c r="AW30" s="7">
        <v>0.82072000000000001</v>
      </c>
      <c r="AX30" s="7">
        <v>0.60584000000000005</v>
      </c>
      <c r="AY30" s="7">
        <v>2.17374</v>
      </c>
      <c r="AZ30" s="7">
        <v>1.1571400000000001</v>
      </c>
      <c r="BA30" s="7">
        <v>0.43341000000000002</v>
      </c>
      <c r="BB30" s="7">
        <v>0.51859</v>
      </c>
      <c r="BC30" s="7">
        <v>0.86090999999999995</v>
      </c>
      <c r="BD30" s="7">
        <v>0.51859</v>
      </c>
      <c r="BE30" s="7">
        <v>0.86090999999999995</v>
      </c>
      <c r="BF30" s="7">
        <v>0.68972999999999995</v>
      </c>
      <c r="BG30" s="7">
        <v>-0.25415857540944231</v>
      </c>
      <c r="BH30" s="7">
        <f>LN(AG30)-BG30</f>
        <v>13.460206451876978</v>
      </c>
      <c r="BI30" s="7">
        <f>LN(AR30/$BF30)</f>
        <v>-1.2884764175033644E-2</v>
      </c>
      <c r="BJ30" s="7">
        <f>LN(AS30/$BF30)</f>
        <v>-0.54139160715341783</v>
      </c>
      <c r="BK30" s="7">
        <f>LN(AT30/$BF30)</f>
        <v>0.13616301595714886</v>
      </c>
      <c r="BL30" s="7">
        <f>LN(AU30/$BF30)</f>
        <v>-0.29160918153802684</v>
      </c>
      <c r="BM30" s="7">
        <f>LN(AV30/$BF30)</f>
        <v>8.842880140259532E-2</v>
      </c>
      <c r="BN30" s="7">
        <f>LN(AW30/$BF30)</f>
        <v>0.17388178711550262</v>
      </c>
      <c r="BO30" s="7">
        <f>LN(AX30/$BF30)</f>
        <v>-0.12968429185838734</v>
      </c>
      <c r="BP30" s="7">
        <f>LN(AY30/$BF30)</f>
        <v>1.1479042486489306</v>
      </c>
      <c r="BQ30" s="7">
        <f>LN(AZ30/$BF30)</f>
        <v>0.51740650580241143</v>
      </c>
      <c r="BR30" s="7">
        <f>LN(BA30/$BF30)</f>
        <v>-0.46461605445455501</v>
      </c>
      <c r="BS30" s="7">
        <f>LN(BB30/$BF30)</f>
        <v>-0.28518662642945364</v>
      </c>
      <c r="BT30" s="7">
        <f>LN(BC30/$BF30)</f>
        <v>0.22168975268345018</v>
      </c>
      <c r="BU30" s="7">
        <f>LN(BD30/$BF30)</f>
        <v>-0.28518662642945364</v>
      </c>
      <c r="BV30" s="7">
        <f t="shared" si="22"/>
        <v>0.22168975268345018</v>
      </c>
    </row>
    <row r="31" spans="1:74" x14ac:dyDescent="0.2">
      <c r="A31" s="4">
        <f t="shared" si="15"/>
        <v>0.14967454305623248</v>
      </c>
      <c r="B31" s="4">
        <f t="shared" si="1"/>
        <v>3.3685549399378581E-2</v>
      </c>
      <c r="C31" s="4">
        <f t="shared" si="2"/>
        <v>6.8901750749706128E-2</v>
      </c>
      <c r="D31" s="4">
        <f t="shared" si="3"/>
        <v>8.0781056543567611E-2</v>
      </c>
      <c r="E31" s="4">
        <f t="shared" si="4"/>
        <v>0.11999121103700856</v>
      </c>
      <c r="F31" s="4">
        <f t="shared" si="5"/>
        <v>6.3930509291572957E-2</v>
      </c>
      <c r="G31" s="4">
        <f t="shared" si="6"/>
        <v>2.9717535576193246E-2</v>
      </c>
      <c r="H31" s="4">
        <f t="shared" si="7"/>
        <v>0.13001106349657982</v>
      </c>
      <c r="I31" s="4">
        <f t="shared" si="8"/>
        <v>1.7828401987830252E-2</v>
      </c>
      <c r="J31" s="4">
        <f t="shared" si="9"/>
        <v>2.0689989450215631E-2</v>
      </c>
      <c r="K31" s="4">
        <f t="shared" si="10"/>
        <v>8.6557248850042817E-2</v>
      </c>
      <c r="L31" s="4">
        <f t="shared" si="11"/>
        <v>6.4725575309984122E-3</v>
      </c>
      <c r="M31" s="4">
        <f t="shared" si="12"/>
        <v>5.837520536933892E-2</v>
      </c>
      <c r="N31" s="4">
        <f t="shared" si="13"/>
        <v>0.1333833776613346</v>
      </c>
      <c r="O31" s="5">
        <v>1988</v>
      </c>
      <c r="P31" s="6">
        <v>76102.903000000006</v>
      </c>
      <c r="Q31" s="6">
        <v>17127.616000000002</v>
      </c>
      <c r="R31" s="6">
        <v>35033.500999999997</v>
      </c>
      <c r="S31" s="6">
        <v>41073.603999999992</v>
      </c>
      <c r="T31" s="6">
        <v>61010.238000000012</v>
      </c>
      <c r="U31" s="6">
        <v>32505.844000000001</v>
      </c>
      <c r="V31" s="6">
        <v>15110.056</v>
      </c>
      <c r="W31" s="6">
        <v>66104.891000000003</v>
      </c>
      <c r="X31" s="6">
        <v>9064.9560000000001</v>
      </c>
      <c r="Y31" s="6">
        <v>10519.947</v>
      </c>
      <c r="Z31" s="6">
        <v>44010.542999999998</v>
      </c>
      <c r="AA31" s="6">
        <v>3291.01</v>
      </c>
      <c r="AB31" s="6">
        <v>29681.217000000001</v>
      </c>
      <c r="AC31" s="6">
        <v>67819.563999999998</v>
      </c>
      <c r="AD31" s="6">
        <v>508455.89</v>
      </c>
      <c r="AE31" s="6">
        <v>150110.76300000001</v>
      </c>
      <c r="AF31" s="6">
        <f t="shared" si="16"/>
        <v>358345.12699999998</v>
      </c>
      <c r="AG31" s="6">
        <v>577509.80000000005</v>
      </c>
      <c r="AH31" s="6">
        <f t="shared" si="17"/>
        <v>219164.67300000007</v>
      </c>
      <c r="AI31" s="7">
        <v>0.70828999999999998</v>
      </c>
      <c r="AJ31" s="6">
        <v>56117.976000000002</v>
      </c>
      <c r="AK31" s="4">
        <f t="shared" si="18"/>
        <v>0.29522868345570746</v>
      </c>
      <c r="AL31" s="4">
        <f t="shared" si="19"/>
        <v>0.70477131654429248</v>
      </c>
      <c r="AM31" s="6">
        <f t="shared" si="20"/>
        <v>717863.9963856613</v>
      </c>
      <c r="AN31" s="6">
        <f t="shared" si="23"/>
        <v>211934.04255319151</v>
      </c>
      <c r="AO31" s="6">
        <f t="shared" si="24"/>
        <v>505929.95383246976</v>
      </c>
      <c r="AP31" s="6">
        <f t="shared" si="25"/>
        <v>815357.83365570614</v>
      </c>
      <c r="AQ31" s="6">
        <f t="shared" si="26"/>
        <v>309427.87982323638</v>
      </c>
      <c r="AR31" s="7">
        <v>0.68912000000000007</v>
      </c>
      <c r="AS31" s="7">
        <v>0.41777999999999998</v>
      </c>
      <c r="AT31" s="7">
        <v>0.81574000000000002</v>
      </c>
      <c r="AU31" s="7">
        <v>0.53827999999999998</v>
      </c>
      <c r="AV31" s="7">
        <v>0.76751999999999998</v>
      </c>
      <c r="AW31" s="7">
        <v>0.84589999999999999</v>
      </c>
      <c r="AX31" s="7">
        <v>0.61753999999999998</v>
      </c>
      <c r="AY31" s="7">
        <v>2.10792</v>
      </c>
      <c r="AZ31" s="7">
        <v>1.16452</v>
      </c>
      <c r="BA31" s="7">
        <v>0.46360999999999997</v>
      </c>
      <c r="BB31" s="7">
        <v>0.54722000000000004</v>
      </c>
      <c r="BC31" s="7">
        <v>0.88831000000000004</v>
      </c>
      <c r="BD31" s="7">
        <v>0.54722000000000004</v>
      </c>
      <c r="BE31" s="7">
        <v>0.88831000000000004</v>
      </c>
      <c r="BF31" s="7">
        <v>0.70828999999999998</v>
      </c>
      <c r="BG31" s="7">
        <v>-0.22615264687699829</v>
      </c>
      <c r="BH31" s="7">
        <f>LN(AG31)-BG31</f>
        <v>13.492633337808071</v>
      </c>
      <c r="BI31" s="7">
        <f>LN(AR31/$BF31)</f>
        <v>-2.7438193042662054E-2</v>
      </c>
      <c r="BJ31" s="7">
        <f>LN(AS31/$BF31)</f>
        <v>-0.52789863616595234</v>
      </c>
      <c r="BK31" s="7">
        <f>LN(AT31/$BF31)</f>
        <v>0.14124206239215245</v>
      </c>
      <c r="BL31" s="7">
        <f>LN(AU31/$BF31)</f>
        <v>-0.27447474347512202</v>
      </c>
      <c r="BM31" s="7">
        <f>LN(AV31/$BF31)</f>
        <v>8.0310923405291043E-2</v>
      </c>
      <c r="BN31" s="7">
        <f>LN(AW31/$BF31)</f>
        <v>0.17754753496150627</v>
      </c>
      <c r="BO31" s="7">
        <f>LN(AX31/$BF31)</f>
        <v>-0.13710977061635574</v>
      </c>
      <c r="BP31" s="7">
        <f>LN(AY31/$BF31)</f>
        <v>1.090603343928509</v>
      </c>
      <c r="BQ31" s="7">
        <f>LN(AZ31/$BF31)</f>
        <v>0.49721064958156158</v>
      </c>
      <c r="BR31" s="7">
        <f>LN(BA31/$BF31)</f>
        <v>-0.42380993279626133</v>
      </c>
      <c r="BS31" s="7">
        <f>LN(BB31/$BF31)</f>
        <v>-0.25800269900044387</v>
      </c>
      <c r="BT31" s="7">
        <f>LN(BC31/$BF31)</f>
        <v>0.22646716682189388</v>
      </c>
      <c r="BU31" s="7">
        <f>LN(BD31/$BF31)</f>
        <v>-0.25800269900044387</v>
      </c>
      <c r="BV31" s="7">
        <f t="shared" si="22"/>
        <v>0.22646716682189388</v>
      </c>
    </row>
    <row r="32" spans="1:74" x14ac:dyDescent="0.2">
      <c r="A32" s="4">
        <f t="shared" si="15"/>
        <v>0.14719226808374442</v>
      </c>
      <c r="B32" s="4">
        <f t="shared" si="1"/>
        <v>3.2876188033843498E-2</v>
      </c>
      <c r="C32" s="4">
        <f t="shared" si="2"/>
        <v>6.6465158344885089E-2</v>
      </c>
      <c r="D32" s="4">
        <f t="shared" si="3"/>
        <v>7.6348701563137014E-2</v>
      </c>
      <c r="E32" s="4">
        <f t="shared" si="4"/>
        <v>0.12429206092276777</v>
      </c>
      <c r="F32" s="4">
        <f t="shared" si="5"/>
        <v>6.2349928448622381E-2</v>
      </c>
      <c r="G32" s="4">
        <f t="shared" si="6"/>
        <v>3.0705302723656229E-2</v>
      </c>
      <c r="H32" s="4">
        <f t="shared" si="7"/>
        <v>0.13260800895387553</v>
      </c>
      <c r="I32" s="4">
        <f t="shared" si="8"/>
        <v>1.7599680405114278E-2</v>
      </c>
      <c r="J32" s="4">
        <f t="shared" si="9"/>
        <v>2.0314560005466799E-2</v>
      </c>
      <c r="K32" s="4">
        <f t="shared" si="10"/>
        <v>8.6751306373202122E-2</v>
      </c>
      <c r="L32" s="4">
        <f t="shared" si="11"/>
        <v>6.7878224554635486E-3</v>
      </c>
      <c r="M32" s="4">
        <f t="shared" si="12"/>
        <v>5.934088432757896E-2</v>
      </c>
      <c r="N32" s="4">
        <f t="shared" si="13"/>
        <v>0.13636812935864229</v>
      </c>
      <c r="O32" s="5">
        <v>1989</v>
      </c>
      <c r="P32" s="6">
        <v>80507.168999999994</v>
      </c>
      <c r="Q32" s="6">
        <v>17981.710999999999</v>
      </c>
      <c r="R32" s="6">
        <v>36353.279999999999</v>
      </c>
      <c r="S32" s="6">
        <v>41759.107999999993</v>
      </c>
      <c r="T32" s="6">
        <v>67981.845000000001</v>
      </c>
      <c r="U32" s="6">
        <v>34102.445</v>
      </c>
      <c r="V32" s="6">
        <v>16794.34</v>
      </c>
      <c r="W32" s="6">
        <v>72530.273000000001</v>
      </c>
      <c r="X32" s="6">
        <v>9626.1880000000001</v>
      </c>
      <c r="Y32" s="6">
        <v>11111.098</v>
      </c>
      <c r="Z32" s="6">
        <v>47448.838000000003</v>
      </c>
      <c r="AA32" s="6">
        <v>3712.616</v>
      </c>
      <c r="AB32" s="6">
        <v>32456.641</v>
      </c>
      <c r="AC32" s="6">
        <v>74586.880000000005</v>
      </c>
      <c r="AD32" s="6">
        <v>546952.43200000003</v>
      </c>
      <c r="AE32" s="6">
        <v>162198.052</v>
      </c>
      <c r="AF32" s="6">
        <f t="shared" si="16"/>
        <v>384754.38</v>
      </c>
      <c r="AG32" s="6">
        <v>621289.6</v>
      </c>
      <c r="AH32" s="6">
        <f t="shared" si="17"/>
        <v>236535.21999999997</v>
      </c>
      <c r="AI32" s="7">
        <v>0.73545000000000005</v>
      </c>
      <c r="AJ32" s="6">
        <v>56423.404999999999</v>
      </c>
      <c r="AK32" s="4">
        <f t="shared" si="18"/>
        <v>0.29654873533865189</v>
      </c>
      <c r="AL32" s="4">
        <f t="shared" si="19"/>
        <v>0.70345126466134811</v>
      </c>
      <c r="AM32" s="6">
        <f t="shared" si="20"/>
        <v>743697.6436195526</v>
      </c>
      <c r="AN32" s="6">
        <f t="shared" si="23"/>
        <v>220542.59568971375</v>
      </c>
      <c r="AO32" s="6">
        <f t="shared" si="24"/>
        <v>523155.04792983882</v>
      </c>
      <c r="AP32" s="6">
        <f t="shared" si="25"/>
        <v>844774.76375008491</v>
      </c>
      <c r="AQ32" s="6">
        <f t="shared" si="26"/>
        <v>321619.71582024603</v>
      </c>
      <c r="AR32" s="7">
        <v>0.7145999999999999</v>
      </c>
      <c r="AS32" s="7">
        <v>0.43231999999999998</v>
      </c>
      <c r="AT32" s="7">
        <v>0.84081000000000006</v>
      </c>
      <c r="AU32" s="7">
        <v>0.56393000000000004</v>
      </c>
      <c r="AV32" s="7">
        <v>0.78903000000000001</v>
      </c>
      <c r="AW32" s="7">
        <v>0.86019999999999996</v>
      </c>
      <c r="AX32" s="7">
        <v>0.64288999999999996</v>
      </c>
      <c r="AY32" s="7">
        <v>2.0604200000000001</v>
      </c>
      <c r="AZ32" s="7">
        <v>1.18574</v>
      </c>
      <c r="BA32" s="7">
        <v>0.49087000000000003</v>
      </c>
      <c r="BB32" s="7">
        <v>0.57411000000000001</v>
      </c>
      <c r="BC32" s="7">
        <v>0.93683000000000005</v>
      </c>
      <c r="BD32" s="7">
        <v>0.57411000000000001</v>
      </c>
      <c r="BE32" s="7">
        <v>0.93683000000000005</v>
      </c>
      <c r="BF32" s="7">
        <v>0.73545000000000005</v>
      </c>
      <c r="BG32" s="7">
        <v>-0.19070154939683462</v>
      </c>
      <c r="BH32" s="7">
        <f>LN(AG32)-BG32</f>
        <v>13.530254146213075</v>
      </c>
      <c r="BI32" s="7">
        <f>LN(AR32/$BF32)</f>
        <v>-2.8759611176042782E-2</v>
      </c>
      <c r="BJ32" s="7">
        <f>LN(AS32/$BF32)</f>
        <v>-0.53131650199351799</v>
      </c>
      <c r="BK32" s="7">
        <f>LN(AT32/$BF32)</f>
        <v>0.13388315616148716</v>
      </c>
      <c r="BL32" s="7">
        <f>LN(AU32/$BF32)</f>
        <v>-0.26555242644518512</v>
      </c>
      <c r="BM32" s="7">
        <f>LN(AV32/$BF32)</f>
        <v>7.0321786171361617E-2</v>
      </c>
      <c r="BN32" s="7">
        <f>LN(AW32/$BF32)</f>
        <v>0.15668236358428381</v>
      </c>
      <c r="BO32" s="7">
        <f>LN(AX32/$BF32)</f>
        <v>-0.13450892025727143</v>
      </c>
      <c r="BP32" s="7">
        <f>LN(AY32/$BF32)</f>
        <v>1.0301825677320051</v>
      </c>
      <c r="BQ32" s="7">
        <f>LN(AZ32/$BF32)</f>
        <v>0.47763977447585787</v>
      </c>
      <c r="BR32" s="7">
        <f>LN(BA32/$BF32)</f>
        <v>-0.40430322981159372</v>
      </c>
      <c r="BS32" s="7">
        <f>LN(BB32/$BF32)</f>
        <v>-0.24766154117526862</v>
      </c>
      <c r="BT32" s="7">
        <f>LN(BC32/$BF32)</f>
        <v>0.24201927891658814</v>
      </c>
      <c r="BU32" s="7">
        <f>LN(BD32/$BF32)</f>
        <v>-0.24766154117526862</v>
      </c>
      <c r="BV32" s="7">
        <f t="shared" si="22"/>
        <v>0.24201927891658814</v>
      </c>
    </row>
    <row r="33" spans="1:74" x14ac:dyDescent="0.2">
      <c r="A33" s="4">
        <f t="shared" si="15"/>
        <v>0.1462576260157403</v>
      </c>
      <c r="B33" s="4">
        <f t="shared" si="1"/>
        <v>3.2338184602147067E-2</v>
      </c>
      <c r="C33" s="4">
        <f t="shared" si="2"/>
        <v>6.6648679575551498E-2</v>
      </c>
      <c r="D33" s="4">
        <f t="shared" si="3"/>
        <v>7.7291508996367705E-2</v>
      </c>
      <c r="E33" s="4">
        <f t="shared" si="4"/>
        <v>0.12649005784526957</v>
      </c>
      <c r="F33" s="4">
        <f t="shared" si="5"/>
        <v>6.129160459859026E-2</v>
      </c>
      <c r="G33" s="4">
        <f t="shared" si="6"/>
        <v>3.1734524061925978E-2</v>
      </c>
      <c r="H33" s="4">
        <f t="shared" si="7"/>
        <v>0.13019343646876991</v>
      </c>
      <c r="I33" s="4">
        <f t="shared" si="8"/>
        <v>1.8019341966423314E-2</v>
      </c>
      <c r="J33" s="4">
        <f t="shared" si="9"/>
        <v>2.0742158543168208E-2</v>
      </c>
      <c r="K33" s="4">
        <f t="shared" si="10"/>
        <v>8.7083989009112253E-2</v>
      </c>
      <c r="L33" s="4">
        <f t="shared" si="11"/>
        <v>6.4025302546022117E-3</v>
      </c>
      <c r="M33" s="4">
        <f t="shared" si="12"/>
        <v>6.0558705043364081E-2</v>
      </c>
      <c r="N33" s="4">
        <f t="shared" si="13"/>
        <v>0.1349476530189678</v>
      </c>
      <c r="O33" s="5">
        <v>1990</v>
      </c>
      <c r="P33" s="6">
        <v>84423.569000000003</v>
      </c>
      <c r="Q33" s="6">
        <v>18666.411</v>
      </c>
      <c r="R33" s="6">
        <v>38471.288999999997</v>
      </c>
      <c r="S33" s="6">
        <v>44614.597000000009</v>
      </c>
      <c r="T33" s="6">
        <v>73013.232999999993</v>
      </c>
      <c r="U33" s="6">
        <v>35379.050999999999</v>
      </c>
      <c r="V33" s="6">
        <v>18317.963</v>
      </c>
      <c r="W33" s="6">
        <v>75150.915999999997</v>
      </c>
      <c r="X33" s="6">
        <v>10401.216</v>
      </c>
      <c r="Y33" s="6">
        <v>11972.894</v>
      </c>
      <c r="Z33" s="6">
        <v>50267.061999999998</v>
      </c>
      <c r="AA33" s="6">
        <v>3695.701</v>
      </c>
      <c r="AB33" s="6">
        <v>34956.002999999997</v>
      </c>
      <c r="AC33" s="6">
        <v>77895.168999999994</v>
      </c>
      <c r="AD33" s="6">
        <v>577225.07399999991</v>
      </c>
      <c r="AE33" s="6">
        <v>172775.42300000001</v>
      </c>
      <c r="AF33" s="6">
        <f t="shared" si="16"/>
        <v>404449.6509999999</v>
      </c>
      <c r="AG33" s="6">
        <v>662852.9</v>
      </c>
      <c r="AH33" s="6">
        <f t="shared" si="17"/>
        <v>258403.24900000013</v>
      </c>
      <c r="AI33" s="7">
        <v>0.75656999999999996</v>
      </c>
      <c r="AJ33" s="6">
        <v>56708.830499999996</v>
      </c>
      <c r="AK33" s="4">
        <f t="shared" si="18"/>
        <v>0.29932071696525098</v>
      </c>
      <c r="AL33" s="4">
        <f t="shared" si="19"/>
        <v>0.70067928303474902</v>
      </c>
      <c r="AM33" s="6">
        <f t="shared" si="20"/>
        <v>762949.99008683919</v>
      </c>
      <c r="AN33" s="6">
        <f t="shared" si="23"/>
        <v>228366.73804142381</v>
      </c>
      <c r="AO33" s="6">
        <f t="shared" si="24"/>
        <v>534583.25204541534</v>
      </c>
      <c r="AP33" s="6">
        <f t="shared" si="25"/>
        <v>876128.97682963905</v>
      </c>
      <c r="AQ33" s="6">
        <f t="shared" si="26"/>
        <v>341545.72478422371</v>
      </c>
      <c r="AR33" s="7">
        <v>0.73529</v>
      </c>
      <c r="AS33" s="7">
        <v>0.44680999999999998</v>
      </c>
      <c r="AT33" s="7">
        <v>0.87202000000000002</v>
      </c>
      <c r="AU33" s="7">
        <v>0.58609999999999995</v>
      </c>
      <c r="AV33" s="7">
        <v>0.81228999999999996</v>
      </c>
      <c r="AW33" s="7">
        <v>0.86651999999999996</v>
      </c>
      <c r="AX33" s="7">
        <v>0.66178999999999999</v>
      </c>
      <c r="AY33" s="7">
        <v>2.0384500000000001</v>
      </c>
      <c r="AZ33" s="7">
        <v>1.1977500000000001</v>
      </c>
      <c r="BA33" s="7">
        <v>0.52061000000000002</v>
      </c>
      <c r="BB33" s="7">
        <v>0.60606000000000004</v>
      </c>
      <c r="BC33" s="7">
        <v>0.95257000000000003</v>
      </c>
      <c r="BD33" s="7">
        <v>0.60606000000000004</v>
      </c>
      <c r="BE33" s="7">
        <v>0.95257000000000003</v>
      </c>
      <c r="BF33" s="7">
        <v>0.75656999999999996</v>
      </c>
      <c r="BG33" s="7">
        <v>-0.16799485913984843</v>
      </c>
      <c r="BH33" s="7">
        <f>LN(AG33)-BG33</f>
        <v>13.572303233404419</v>
      </c>
      <c r="BI33" s="7">
        <f>LN(AR33/$BF33)</f>
        <v>-2.8530081123729092E-2</v>
      </c>
      <c r="BJ33" s="7">
        <f>LN(AS33/$BF33)</f>
        <v>-0.52666161201894635</v>
      </c>
      <c r="BK33" s="7">
        <f>LN(AT33/$BF33)</f>
        <v>0.14201729908354982</v>
      </c>
      <c r="BL33" s="7">
        <f>LN(AU33/$BF33)</f>
        <v>-0.255304636859842</v>
      </c>
      <c r="BM33" s="7">
        <f>LN(AV33/$BF33)</f>
        <v>7.1062358916265639E-2</v>
      </c>
      <c r="BN33" s="7">
        <f>LN(AW33/$BF33)</f>
        <v>0.13569012990886514</v>
      </c>
      <c r="BO33" s="7">
        <f>LN(AX33/$BF33)</f>
        <v>-0.13384677527410369</v>
      </c>
      <c r="BP33" s="7">
        <f>LN(AY33/$BF33)</f>
        <v>0.99114993377717298</v>
      </c>
      <c r="BQ33" s="7">
        <f>LN(AZ33/$BF33)</f>
        <v>0.45940501542100609</v>
      </c>
      <c r="BR33" s="7">
        <f>LN(BA33/$BF33)</f>
        <v>-0.37379385936078807</v>
      </c>
      <c r="BS33" s="7">
        <f>LN(BB33/$BF33)</f>
        <v>-0.22181606927307757</v>
      </c>
      <c r="BT33" s="7">
        <f>LN(BC33/$BF33)</f>
        <v>0.23036853477196137</v>
      </c>
      <c r="BU33" s="7">
        <f>LN(BD33/$BF33)</f>
        <v>-0.22181606927307757</v>
      </c>
      <c r="BV33" s="7">
        <f t="shared" si="22"/>
        <v>0.23036853477196137</v>
      </c>
    </row>
    <row r="34" spans="1:74" x14ac:dyDescent="0.2">
      <c r="A34" s="4">
        <f t="shared" si="15"/>
        <v>0.14679568793328773</v>
      </c>
      <c r="B34" s="4">
        <f t="shared" si="1"/>
        <v>3.2466764478440789E-2</v>
      </c>
      <c r="C34" s="4">
        <f t="shared" si="2"/>
        <v>6.587273375098078E-2</v>
      </c>
      <c r="D34" s="4">
        <f t="shared" si="3"/>
        <v>8.4335589018915927E-2</v>
      </c>
      <c r="E34" s="4">
        <f t="shared" si="4"/>
        <v>0.12955854782043025</v>
      </c>
      <c r="F34" s="4">
        <f t="shared" si="5"/>
        <v>6.0124726230620658E-2</v>
      </c>
      <c r="G34" s="4">
        <f t="shared" si="6"/>
        <v>3.2806028001648987E-2</v>
      </c>
      <c r="H34" s="4">
        <f t="shared" si="7"/>
        <v>0.12403913231515747</v>
      </c>
      <c r="I34" s="4">
        <f t="shared" si="8"/>
        <v>1.740790918564044E-2</v>
      </c>
      <c r="J34" s="4">
        <f t="shared" si="9"/>
        <v>2.1013173906374541E-2</v>
      </c>
      <c r="K34" s="4">
        <f t="shared" si="10"/>
        <v>8.7720138378584306E-2</v>
      </c>
      <c r="L34" s="4">
        <f t="shared" si="11"/>
        <v>6.3274956012502577E-3</v>
      </c>
      <c r="M34" s="4">
        <f t="shared" si="12"/>
        <v>6.2020316833169192E-2</v>
      </c>
      <c r="N34" s="4">
        <f t="shared" si="13"/>
        <v>0.12951175654549865</v>
      </c>
      <c r="O34" s="5">
        <v>1991</v>
      </c>
      <c r="P34" s="6">
        <v>87704.817999999999</v>
      </c>
      <c r="Q34" s="6">
        <v>19397.651999999998</v>
      </c>
      <c r="R34" s="6">
        <v>39356.442999999999</v>
      </c>
      <c r="S34" s="6">
        <v>50387.293999999994</v>
      </c>
      <c r="T34" s="6">
        <v>77406.285000000003</v>
      </c>
      <c r="U34" s="6">
        <v>35922.228000000003</v>
      </c>
      <c r="V34" s="6">
        <v>19600.348999999998</v>
      </c>
      <c r="W34" s="6">
        <v>74108.645000000004</v>
      </c>
      <c r="X34" s="6">
        <v>10400.561</v>
      </c>
      <c r="Y34" s="6">
        <v>12554.569</v>
      </c>
      <c r="Z34" s="6">
        <v>52409.432999999997</v>
      </c>
      <c r="AA34" s="6">
        <v>3780.4369999999999</v>
      </c>
      <c r="AB34" s="6">
        <v>37054.771000000001</v>
      </c>
      <c r="AC34" s="6">
        <v>77378.328999999998</v>
      </c>
      <c r="AD34" s="6">
        <v>597461.81400000001</v>
      </c>
      <c r="AE34" s="6">
        <v>181629.66200000001</v>
      </c>
      <c r="AF34" s="6">
        <f t="shared" si="16"/>
        <v>415832.152</v>
      </c>
      <c r="AG34" s="6">
        <v>691253.8</v>
      </c>
      <c r="AH34" s="6">
        <f t="shared" si="17"/>
        <v>275421.64800000004</v>
      </c>
      <c r="AI34" s="7">
        <v>0.77724000000000004</v>
      </c>
      <c r="AJ34" s="6">
        <v>56975.597000000002</v>
      </c>
      <c r="AK34" s="4">
        <f t="shared" si="18"/>
        <v>0.30400212656938108</v>
      </c>
      <c r="AL34" s="4">
        <f t="shared" si="19"/>
        <v>0.69599787343061892</v>
      </c>
      <c r="AM34" s="6">
        <f t="shared" si="20"/>
        <v>768696.68828161189</v>
      </c>
      <c r="AN34" s="6">
        <f t="shared" si="23"/>
        <v>233685.42792445063</v>
      </c>
      <c r="AO34" s="6">
        <f t="shared" si="24"/>
        <v>535011.26035716117</v>
      </c>
      <c r="AP34" s="6">
        <f t="shared" si="25"/>
        <v>889369.82141938142</v>
      </c>
      <c r="AQ34" s="6">
        <f t="shared" si="26"/>
        <v>354358.56106222019</v>
      </c>
      <c r="AR34" s="7">
        <v>0.75614999999999999</v>
      </c>
      <c r="AS34" s="7">
        <v>0.45978000000000002</v>
      </c>
      <c r="AT34" s="7">
        <v>0.90197999999999989</v>
      </c>
      <c r="AU34" s="7">
        <v>0.61307999999999996</v>
      </c>
      <c r="AV34" s="7">
        <v>0.83796999999999999</v>
      </c>
      <c r="AW34" s="7">
        <v>0.87391999999999992</v>
      </c>
      <c r="AX34" s="7">
        <v>0.68428</v>
      </c>
      <c r="AY34" s="7">
        <v>2.0208200000000001</v>
      </c>
      <c r="AZ34" s="7">
        <v>1.22387</v>
      </c>
      <c r="BA34" s="7">
        <v>0.55084</v>
      </c>
      <c r="BB34" s="7">
        <v>0.63771999999999995</v>
      </c>
      <c r="BC34" s="7">
        <v>0.93924999999999992</v>
      </c>
      <c r="BD34" s="7">
        <v>0.63771999999999995</v>
      </c>
      <c r="BE34" s="7">
        <v>0.93924999999999992</v>
      </c>
      <c r="BF34" s="7">
        <v>0.77724000000000004</v>
      </c>
      <c r="BG34" s="7">
        <v>-0.15539458126134875</v>
      </c>
      <c r="BH34" s="7">
        <f>LN(AG34)-BG34</f>
        <v>13.601656910352444</v>
      </c>
      <c r="BI34" s="7">
        <f>LN(AR34/$BF34)</f>
        <v>-2.7509413786076541E-2</v>
      </c>
      <c r="BJ34" s="7">
        <f>LN(AS34/$BF34)</f>
        <v>-0.52500106877245811</v>
      </c>
      <c r="BK34" s="7">
        <f>LN(AT34/$BF34)</f>
        <v>0.14884316388497176</v>
      </c>
      <c r="BL34" s="7">
        <f>LN(AU34/$BF34)</f>
        <v>-0.23725374985211922</v>
      </c>
      <c r="BM34" s="7">
        <f>LN(AV34/$BF34)</f>
        <v>7.5233117335765778E-2</v>
      </c>
      <c r="BN34" s="7">
        <f>LN(AW34/$BF34)</f>
        <v>0.11723965530251403</v>
      </c>
      <c r="BO34" s="7">
        <f>LN(AX34/$BF34)</f>
        <v>-0.12738199239873496</v>
      </c>
      <c r="BP34" s="7">
        <f>LN(AY34/$BF34)</f>
        <v>0.95550946563489214</v>
      </c>
      <c r="BQ34" s="7">
        <f>LN(AZ34/$BF34)</f>
        <v>0.45402406529852735</v>
      </c>
      <c r="BR34" s="7">
        <f>LN(BA34/$BF34)</f>
        <v>-0.34430479712390094</v>
      </c>
      <c r="BS34" s="7">
        <f>LN(BB34/$BF34)</f>
        <v>-0.19784986744366159</v>
      </c>
      <c r="BT34" s="7">
        <f>LN(BC34/$BF34)</f>
        <v>0.18933250147125222</v>
      </c>
      <c r="BU34" s="7">
        <f>LN(BD34/$BF34)</f>
        <v>-0.19784986744366159</v>
      </c>
      <c r="BV34" s="7">
        <f t="shared" si="22"/>
        <v>0.18933250147125222</v>
      </c>
    </row>
    <row r="35" spans="1:74" x14ac:dyDescent="0.2">
      <c r="A35" s="4">
        <f t="shared" si="15"/>
        <v>0.14199557014861525</v>
      </c>
      <c r="B35" s="4">
        <f t="shared" si="1"/>
        <v>3.3117206718326325E-2</v>
      </c>
      <c r="C35" s="4">
        <f t="shared" si="2"/>
        <v>6.4024096489832746E-2</v>
      </c>
      <c r="D35" s="4">
        <f t="shared" si="3"/>
        <v>8.1829072738411626E-2</v>
      </c>
      <c r="E35" s="4">
        <f t="shared" si="4"/>
        <v>0.13758154045670179</v>
      </c>
      <c r="F35" s="4">
        <f t="shared" si="5"/>
        <v>5.8477170354630188E-2</v>
      </c>
      <c r="G35" s="4">
        <f t="shared" si="6"/>
        <v>3.3826761571078029E-2</v>
      </c>
      <c r="H35" s="4">
        <f t="shared" si="7"/>
        <v>0.12326273582031148</v>
      </c>
      <c r="I35" s="4">
        <f t="shared" si="8"/>
        <v>1.7985033501265082E-2</v>
      </c>
      <c r="J35" s="4">
        <f t="shared" si="9"/>
        <v>2.1183362578219442E-2</v>
      </c>
      <c r="K35" s="4">
        <f t="shared" si="10"/>
        <v>8.7178088982797594E-2</v>
      </c>
      <c r="L35" s="4">
        <f t="shared" si="11"/>
        <v>6.4928901162896189E-3</v>
      </c>
      <c r="M35" s="4">
        <f t="shared" si="12"/>
        <v>6.1996934027578499E-2</v>
      </c>
      <c r="N35" s="4">
        <f t="shared" si="13"/>
        <v>0.13104953649594228</v>
      </c>
      <c r="O35" s="5">
        <v>1992</v>
      </c>
      <c r="P35" s="6">
        <v>88024.244000000006</v>
      </c>
      <c r="Q35" s="6">
        <v>20529.633999999998</v>
      </c>
      <c r="R35" s="6">
        <v>39689.074000000001</v>
      </c>
      <c r="S35" s="6">
        <v>50726.527999999991</v>
      </c>
      <c r="T35" s="6">
        <v>85287.950000000012</v>
      </c>
      <c r="U35" s="6">
        <v>36250.487999999998</v>
      </c>
      <c r="V35" s="6">
        <v>20969.492999999999</v>
      </c>
      <c r="W35" s="6">
        <v>76411.603000000003</v>
      </c>
      <c r="X35" s="6">
        <v>11149.073</v>
      </c>
      <c r="Y35" s="6">
        <v>13131.744000000001</v>
      </c>
      <c r="Z35" s="6">
        <v>54042.428</v>
      </c>
      <c r="AA35" s="6">
        <v>4024.9969999999998</v>
      </c>
      <c r="AB35" s="6">
        <v>38432.419000000002</v>
      </c>
      <c r="AC35" s="6">
        <v>81238.706000000006</v>
      </c>
      <c r="AD35" s="6">
        <v>619908.38100000005</v>
      </c>
      <c r="AE35" s="6">
        <v>192172.663</v>
      </c>
      <c r="AF35" s="6">
        <f t="shared" si="16"/>
        <v>427735.71800000005</v>
      </c>
      <c r="AG35" s="6">
        <v>723532.5</v>
      </c>
      <c r="AH35" s="6">
        <f t="shared" si="17"/>
        <v>295796.78199999995</v>
      </c>
      <c r="AI35" s="7">
        <v>0.79724000000000006</v>
      </c>
      <c r="AJ35" s="6">
        <v>57239.847000000002</v>
      </c>
      <c r="AK35" s="4">
        <f t="shared" si="18"/>
        <v>0.31000171781836255</v>
      </c>
      <c r="AL35" s="4">
        <f t="shared" si="19"/>
        <v>0.68999828218163739</v>
      </c>
      <c r="AM35" s="6">
        <f t="shared" si="20"/>
        <v>777568.08614720788</v>
      </c>
      <c r="AN35" s="6">
        <f t="shared" si="23"/>
        <v>241047.44242637095</v>
      </c>
      <c r="AO35" s="6">
        <f t="shared" si="24"/>
        <v>536520.64372083696</v>
      </c>
      <c r="AP35" s="6">
        <f t="shared" si="25"/>
        <v>907546.66098038224</v>
      </c>
      <c r="AQ35" s="6">
        <f t="shared" si="26"/>
        <v>371026.01725954533</v>
      </c>
      <c r="AR35" s="7">
        <v>0.75507999999999997</v>
      </c>
      <c r="AS35" s="7">
        <v>0.48576000000000003</v>
      </c>
      <c r="AT35" s="7">
        <v>0.92138999999999993</v>
      </c>
      <c r="AU35" s="7">
        <v>0.63863000000000003</v>
      </c>
      <c r="AV35" s="7">
        <v>0.85763</v>
      </c>
      <c r="AW35" s="7">
        <v>0.88647999999999993</v>
      </c>
      <c r="AX35" s="7">
        <v>0.69745999999999997</v>
      </c>
      <c r="AY35" s="7">
        <v>1.9999</v>
      </c>
      <c r="AZ35" s="7">
        <v>1.2516</v>
      </c>
      <c r="BA35" s="7">
        <v>0.57008999999999999</v>
      </c>
      <c r="BB35" s="7">
        <v>0.66620999999999997</v>
      </c>
      <c r="BC35" s="7">
        <v>0.97077000000000002</v>
      </c>
      <c r="BD35" s="7">
        <v>0.66620999999999997</v>
      </c>
      <c r="BE35" s="7">
        <v>0.97077000000000002</v>
      </c>
      <c r="BF35" s="7">
        <v>0.79724000000000006</v>
      </c>
      <c r="BG35" s="7">
        <v>-0.13320664209022193</v>
      </c>
      <c r="BH35" s="7">
        <f>LN(AG35)-BG35</f>
        <v>13.625107386660225</v>
      </c>
      <c r="BI35" s="7">
        <f>LN(AR35/$BF35)</f>
        <v>-5.4332058794003928E-2</v>
      </c>
      <c r="BJ35" s="7">
        <f>LN(AS35/$BF35)</f>
        <v>-0.49544108792732655</v>
      </c>
      <c r="BK35" s="7">
        <f>LN(AT35/$BF35)</f>
        <v>0.14472763669867778</v>
      </c>
      <c r="BL35" s="7">
        <f>LN(AU35/$BF35)</f>
        <v>-0.2218305057534174</v>
      </c>
      <c r="BM35" s="7">
        <f>LN(AV35/$BF35)</f>
        <v>7.3017008353451207E-2</v>
      </c>
      <c r="BN35" s="7">
        <f>LN(AW35/$BF35)</f>
        <v>0.10610280193353301</v>
      </c>
      <c r="BO35" s="7">
        <f>LN(AX35/$BF35)</f>
        <v>-0.13371059831370771</v>
      </c>
      <c r="BP35" s="7">
        <f>LN(AY35/$BF35)</f>
        <v>0.91969669559750367</v>
      </c>
      <c r="BQ35" s="7">
        <f>LN(AZ35/$BF35)</f>
        <v>0.45102224910019012</v>
      </c>
      <c r="BR35" s="7">
        <f>LN(BA35/$BF35)</f>
        <v>-0.33536151959316096</v>
      </c>
      <c r="BS35" s="7">
        <f>LN(BB35/$BF35)</f>
        <v>-0.17955082654025908</v>
      </c>
      <c r="BT35" s="7">
        <f>LN(BC35/$BF35)</f>
        <v>0.19693380833184349</v>
      </c>
      <c r="BU35" s="7">
        <f>LN(BD35/$BF35)</f>
        <v>-0.17955082654025908</v>
      </c>
      <c r="BV35" s="7">
        <f t="shared" si="22"/>
        <v>0.19693380833184349</v>
      </c>
    </row>
    <row r="36" spans="1:74" x14ac:dyDescent="0.2">
      <c r="A36" s="4">
        <f t="shared" si="15"/>
        <v>0.14096604827222295</v>
      </c>
      <c r="B36" s="4">
        <f t="shared" si="1"/>
        <v>3.550056282231949E-2</v>
      </c>
      <c r="C36" s="4">
        <f t="shared" si="2"/>
        <v>6.2566522524253806E-2</v>
      </c>
      <c r="D36" s="4">
        <f t="shared" si="3"/>
        <v>8.161589015829919E-2</v>
      </c>
      <c r="E36" s="4">
        <f t="shared" si="4"/>
        <v>0.14579681790199098</v>
      </c>
      <c r="F36" s="4">
        <f t="shared" si="5"/>
        <v>5.7491040349822643E-2</v>
      </c>
      <c r="G36" s="4">
        <f t="shared" si="6"/>
        <v>3.5344180675421083E-2</v>
      </c>
      <c r="H36" s="4">
        <f t="shared" si="7"/>
        <v>0.11810376372433971</v>
      </c>
      <c r="I36" s="4">
        <f t="shared" si="8"/>
        <v>1.7457091513772009E-2</v>
      </c>
      <c r="J36" s="4">
        <f t="shared" si="9"/>
        <v>2.156472288003345E-2</v>
      </c>
      <c r="K36" s="4">
        <f t="shared" si="10"/>
        <v>8.7073576213561016E-2</v>
      </c>
      <c r="L36" s="4">
        <f t="shared" si="11"/>
        <v>6.5220877764103919E-3</v>
      </c>
      <c r="M36" s="4">
        <f t="shared" si="12"/>
        <v>6.1753060336376703E-2</v>
      </c>
      <c r="N36" s="4">
        <f t="shared" si="13"/>
        <v>0.12824463485117643</v>
      </c>
      <c r="O36" s="5">
        <v>1993</v>
      </c>
      <c r="P36" s="6">
        <v>88672.718999999997</v>
      </c>
      <c r="Q36" s="6">
        <v>22331.132000000001</v>
      </c>
      <c r="R36" s="6">
        <v>39356.595000000001</v>
      </c>
      <c r="S36" s="6">
        <v>51339.333000000006</v>
      </c>
      <c r="T36" s="6">
        <v>91711.446999999986</v>
      </c>
      <c r="U36" s="6">
        <v>36163.934000000001</v>
      </c>
      <c r="V36" s="6">
        <v>22232.761999999999</v>
      </c>
      <c r="W36" s="6">
        <v>74291.519</v>
      </c>
      <c r="X36" s="6">
        <v>10981.138999999999</v>
      </c>
      <c r="Y36" s="6">
        <v>13564.986999999999</v>
      </c>
      <c r="Z36" s="6">
        <v>54772.413999999997</v>
      </c>
      <c r="AA36" s="6">
        <v>4102.6279999999997</v>
      </c>
      <c r="AB36" s="6">
        <v>38844.898000000001</v>
      </c>
      <c r="AC36" s="6">
        <v>80670.491999999998</v>
      </c>
      <c r="AD36" s="6">
        <v>629035.99900000007</v>
      </c>
      <c r="AE36" s="6">
        <v>198509.114</v>
      </c>
      <c r="AF36" s="6">
        <f t="shared" si="16"/>
        <v>430526.88500000007</v>
      </c>
      <c r="AG36" s="6">
        <v>739115.5</v>
      </c>
      <c r="AH36" s="6">
        <f t="shared" si="17"/>
        <v>308588.61499999993</v>
      </c>
      <c r="AI36" s="7">
        <v>0.8092100000000001</v>
      </c>
      <c r="AJ36" s="6">
        <v>57467.084499999997</v>
      </c>
      <c r="AK36" s="4">
        <f t="shared" si="18"/>
        <v>0.3155767147119985</v>
      </c>
      <c r="AL36" s="4">
        <f t="shared" si="19"/>
        <v>0.68442328528800145</v>
      </c>
      <c r="AM36" s="6">
        <f t="shared" si="20"/>
        <v>777345.80516800331</v>
      </c>
      <c r="AN36" s="6">
        <f t="shared" si="23"/>
        <v>245312.23539007176</v>
      </c>
      <c r="AO36" s="6">
        <f t="shared" si="24"/>
        <v>532033.56977793155</v>
      </c>
      <c r="AP36" s="6">
        <f t="shared" si="25"/>
        <v>913379.09813274664</v>
      </c>
      <c r="AQ36" s="6">
        <f t="shared" si="26"/>
        <v>381345.52835481503</v>
      </c>
      <c r="AR36" s="7">
        <v>0.75543000000000005</v>
      </c>
      <c r="AS36" s="7">
        <v>0.52251000000000003</v>
      </c>
      <c r="AT36" s="7">
        <v>0.93208000000000002</v>
      </c>
      <c r="AU36" s="7">
        <v>0.65870999999999991</v>
      </c>
      <c r="AV36" s="7">
        <v>0.86863000000000001</v>
      </c>
      <c r="AW36" s="7">
        <v>0.90025999999999995</v>
      </c>
      <c r="AX36" s="7">
        <v>0.71831999999999996</v>
      </c>
      <c r="AY36" s="7">
        <v>1.9842299999999999</v>
      </c>
      <c r="AZ36" s="7">
        <v>1.26088</v>
      </c>
      <c r="BA36" s="7">
        <v>0.59287999999999996</v>
      </c>
      <c r="BB36" s="7">
        <v>0.6894499999999999</v>
      </c>
      <c r="BC36" s="7">
        <v>0.94572000000000001</v>
      </c>
      <c r="BD36" s="7">
        <v>0.6894499999999999</v>
      </c>
      <c r="BE36" s="7">
        <v>0.94572000000000001</v>
      </c>
      <c r="BF36" s="7">
        <v>0.8092100000000001</v>
      </c>
      <c r="BG36" s="7">
        <v>-0.12848321034851012</v>
      </c>
      <c r="BH36" s="7">
        <f>LN(AG36)-BG36</f>
        <v>13.641692690353356</v>
      </c>
      <c r="BI36" s="7">
        <f>LN(AR36/$BF36)</f>
        <v>-6.8771339553011679E-2</v>
      </c>
      <c r="BJ36" s="7">
        <f>LN(AS36/$BF36)</f>
        <v>-0.43741434068975932</v>
      </c>
      <c r="BK36" s="7">
        <f>LN(AT36/$BF36)</f>
        <v>0.14136018481012291</v>
      </c>
      <c r="BL36" s="7">
        <f>LN(AU36/$BF36)</f>
        <v>-0.20577508615220769</v>
      </c>
      <c r="BM36" s="7">
        <f>LN(AV36/$BF36)</f>
        <v>7.0858794740278772E-2</v>
      </c>
      <c r="BN36" s="7">
        <f>LN(AW36/$BF36)</f>
        <v>0.10662514739127668</v>
      </c>
      <c r="BO36" s="7">
        <f>LN(AX36/$BF36)</f>
        <v>-0.11914331088900953</v>
      </c>
      <c r="BP36" s="7">
        <f>LN(AY36/$BF36)</f>
        <v>0.89692774544354625</v>
      </c>
      <c r="BQ36" s="7">
        <f>LN(AZ36/$BF36)</f>
        <v>0.44350670576572293</v>
      </c>
      <c r="BR36" s="7">
        <f>LN(BA36/$BF36)</f>
        <v>-0.31106644545845941</v>
      </c>
      <c r="BS36" s="7">
        <f>LN(BB36/$BF36)</f>
        <v>-0.1601642848138127</v>
      </c>
      <c r="BT36" s="7">
        <f>LN(BC36/$BF36)</f>
        <v>0.15588807905199584</v>
      </c>
      <c r="BU36" s="7">
        <f>LN(BD36/$BF36)</f>
        <v>-0.1601642848138127</v>
      </c>
      <c r="BV36" s="7">
        <f t="shared" si="22"/>
        <v>0.15588807905199584</v>
      </c>
    </row>
    <row r="37" spans="1:74" x14ac:dyDescent="0.2">
      <c r="A37" s="4">
        <f t="shared" si="15"/>
        <v>0.13992780057239063</v>
      </c>
      <c r="B37" s="4">
        <f t="shared" si="1"/>
        <v>3.6439048233682186E-2</v>
      </c>
      <c r="C37" s="4">
        <f t="shared" si="2"/>
        <v>5.9798524014387552E-2</v>
      </c>
      <c r="D37" s="4">
        <f t="shared" si="3"/>
        <v>7.6883913826578443E-2</v>
      </c>
      <c r="E37" s="4">
        <f t="shared" si="4"/>
        <v>0.1530773163012947</v>
      </c>
      <c r="F37" s="4">
        <f t="shared" si="5"/>
        <v>5.6679123059017684E-2</v>
      </c>
      <c r="G37" s="4">
        <f t="shared" si="6"/>
        <v>3.6320469798275301E-2</v>
      </c>
      <c r="H37" s="4">
        <f t="shared" si="7"/>
        <v>0.12348859726064636</v>
      </c>
      <c r="I37" s="4">
        <f t="shared" si="8"/>
        <v>1.7390409227485176E-2</v>
      </c>
      <c r="J37" s="4">
        <f t="shared" si="9"/>
        <v>2.1951147740536279E-2</v>
      </c>
      <c r="K37" s="4">
        <f t="shared" si="10"/>
        <v>8.7774291667113521E-2</v>
      </c>
      <c r="L37" s="4">
        <f t="shared" si="11"/>
        <v>6.3950335228860553E-3</v>
      </c>
      <c r="M37" s="4">
        <f t="shared" si="12"/>
        <v>6.0893860119814368E-2</v>
      </c>
      <c r="N37" s="4">
        <f t="shared" si="13"/>
        <v>0.12298046465589173</v>
      </c>
      <c r="O37" s="5">
        <v>1994</v>
      </c>
      <c r="P37" s="6">
        <v>90248.604000000007</v>
      </c>
      <c r="Q37" s="6">
        <v>23501.929</v>
      </c>
      <c r="R37" s="6">
        <v>38567.985000000001</v>
      </c>
      <c r="S37" s="6">
        <v>49587.471999999994</v>
      </c>
      <c r="T37" s="6">
        <v>98729.588000000003</v>
      </c>
      <c r="U37" s="6">
        <v>36556.078999999998</v>
      </c>
      <c r="V37" s="6">
        <v>23425.45</v>
      </c>
      <c r="W37" s="6">
        <v>79645.885000000009</v>
      </c>
      <c r="X37" s="6">
        <v>11216.214</v>
      </c>
      <c r="Y37" s="6">
        <v>14157.733</v>
      </c>
      <c r="Z37" s="6">
        <v>56611.39</v>
      </c>
      <c r="AA37" s="6">
        <v>4124.576</v>
      </c>
      <c r="AB37" s="6">
        <v>39274.438999999998</v>
      </c>
      <c r="AC37" s="6">
        <v>79318.157000000007</v>
      </c>
      <c r="AD37" s="6">
        <v>644965.50100000005</v>
      </c>
      <c r="AE37" s="6">
        <v>201401.30900000001</v>
      </c>
      <c r="AF37" s="6">
        <f t="shared" si="16"/>
        <v>443564.19200000004</v>
      </c>
      <c r="AG37" s="6">
        <v>751735.8</v>
      </c>
      <c r="AH37" s="6">
        <f t="shared" si="17"/>
        <v>308171.60800000001</v>
      </c>
      <c r="AI37" s="7">
        <v>0.81672</v>
      </c>
      <c r="AJ37" s="6">
        <v>57658.771500000003</v>
      </c>
      <c r="AK37" s="4">
        <f t="shared" si="18"/>
        <v>0.3122667936311837</v>
      </c>
      <c r="AL37" s="4">
        <f t="shared" si="19"/>
        <v>0.6877332063688163</v>
      </c>
      <c r="AM37" s="6">
        <f t="shared" si="20"/>
        <v>789702.1023116858</v>
      </c>
      <c r="AN37" s="6">
        <f t="shared" si="23"/>
        <v>246597.7434126751</v>
      </c>
      <c r="AO37" s="6">
        <f t="shared" si="24"/>
        <v>543104.35889901069</v>
      </c>
      <c r="AP37" s="6">
        <f t="shared" si="25"/>
        <v>920432.7064354982</v>
      </c>
      <c r="AQ37" s="6">
        <f t="shared" si="26"/>
        <v>377328.34753648745</v>
      </c>
      <c r="AR37" s="7">
        <v>0.76178000000000001</v>
      </c>
      <c r="AS37" s="7">
        <v>0.56157000000000001</v>
      </c>
      <c r="AT37" s="7">
        <v>0.93688000000000005</v>
      </c>
      <c r="AU37" s="7">
        <v>0.67298000000000002</v>
      </c>
      <c r="AV37" s="7">
        <v>0.87407000000000001</v>
      </c>
      <c r="AW37" s="7">
        <v>0.91142999999999996</v>
      </c>
      <c r="AX37" s="7">
        <v>0.73024</v>
      </c>
      <c r="AY37" s="7">
        <v>1.9881</v>
      </c>
      <c r="AZ37" s="7">
        <v>1.25884</v>
      </c>
      <c r="BA37" s="7">
        <v>0.60880000000000001</v>
      </c>
      <c r="BB37" s="7">
        <v>0.70296999999999998</v>
      </c>
      <c r="BC37" s="7">
        <v>0.91599000000000008</v>
      </c>
      <c r="BD37" s="7">
        <v>0.70296999999999998</v>
      </c>
      <c r="BE37" s="7">
        <v>0.91599000000000008</v>
      </c>
      <c r="BF37" s="7">
        <v>0.81672</v>
      </c>
      <c r="BG37" s="7">
        <v>-0.11650743777102771</v>
      </c>
      <c r="BH37" s="7">
        <f>LN(AG37)-BG37</f>
        <v>13.646647649185001</v>
      </c>
      <c r="BI37" s="7">
        <f>LN(AR37/$BF37)</f>
        <v>-6.9638518770759661E-2</v>
      </c>
      <c r="BJ37" s="7">
        <f>LN(AS37/$BF37)</f>
        <v>-0.37455988637941257</v>
      </c>
      <c r="BK37" s="7">
        <f>LN(AT37/$BF37)</f>
        <v>0.13725888687312196</v>
      </c>
      <c r="BL37" s="7">
        <f>LN(AU37/$BF37)</f>
        <v>-0.19358070733963206</v>
      </c>
      <c r="BM37" s="7">
        <f>LN(AV37/$BF37)</f>
        <v>6.7864145120800662E-2</v>
      </c>
      <c r="BN37" s="7">
        <f>LN(AW37/$BF37)</f>
        <v>0.10971847581965294</v>
      </c>
      <c r="BO37" s="7">
        <f>LN(AX37/$BF37)</f>
        <v>-0.11192307162710387</v>
      </c>
      <c r="BP37" s="7">
        <f>LN(AY37/$BF37)</f>
        <v>0.88963836890153081</v>
      </c>
      <c r="BQ37" s="7">
        <f>LN(AZ37/$BF37)</f>
        <v>0.43264962211952013</v>
      </c>
      <c r="BR37" s="7">
        <f>LN(BA37/$BF37)</f>
        <v>-0.29380651231328392</v>
      </c>
      <c r="BS37" s="7">
        <f>LN(BB37/$BF37)</f>
        <v>-0.14998210221386746</v>
      </c>
      <c r="BT37" s="7">
        <f>LN(BC37/$BF37)</f>
        <v>0.11470912872321153</v>
      </c>
      <c r="BU37" s="7">
        <f>LN(BD37/$BF37)</f>
        <v>-0.14998210221386746</v>
      </c>
      <c r="BV37" s="7">
        <f t="shared" si="22"/>
        <v>0.11470912872321153</v>
      </c>
    </row>
    <row r="38" spans="1:74" x14ac:dyDescent="0.2">
      <c r="A38" s="4">
        <f t="shared" si="15"/>
        <v>0.14013270403927244</v>
      </c>
      <c r="B38" s="4">
        <f t="shared" si="1"/>
        <v>3.6899239911445836E-2</v>
      </c>
      <c r="C38" s="4">
        <f t="shared" si="2"/>
        <v>5.725628096960151E-2</v>
      </c>
      <c r="D38" s="4">
        <f t="shared" si="3"/>
        <v>7.7813260406932566E-2</v>
      </c>
      <c r="E38" s="4">
        <f t="shared" si="4"/>
        <v>0.15695758520365921</v>
      </c>
      <c r="F38" s="4">
        <f t="shared" si="5"/>
        <v>5.631958404215482E-2</v>
      </c>
      <c r="G38" s="4">
        <f t="shared" si="6"/>
        <v>3.6427295564445954E-2</v>
      </c>
      <c r="H38" s="4">
        <f t="shared" si="7"/>
        <v>0.12276454995420355</v>
      </c>
      <c r="I38" s="4">
        <f t="shared" si="8"/>
        <v>1.6972531205902679E-2</v>
      </c>
      <c r="J38" s="4">
        <f t="shared" si="9"/>
        <v>2.2068328648430235E-2</v>
      </c>
      <c r="K38" s="4">
        <f t="shared" si="10"/>
        <v>8.9301870475805845E-2</v>
      </c>
      <c r="L38" s="4">
        <f t="shared" si="11"/>
        <v>6.4467455751815797E-3</v>
      </c>
      <c r="M38" s="4">
        <f t="shared" si="12"/>
        <v>6.1329822329762161E-2</v>
      </c>
      <c r="N38" s="4">
        <f t="shared" si="13"/>
        <v>0.11931020167320167</v>
      </c>
      <c r="O38" s="5">
        <v>1995</v>
      </c>
      <c r="P38" s="6">
        <v>92535.013000000006</v>
      </c>
      <c r="Q38" s="6">
        <v>24365.987000000001</v>
      </c>
      <c r="R38" s="6">
        <v>37808.523999999998</v>
      </c>
      <c r="S38" s="6">
        <v>51383.087999999996</v>
      </c>
      <c r="T38" s="6">
        <v>103645.12900000002</v>
      </c>
      <c r="U38" s="6">
        <v>37189.987000000001</v>
      </c>
      <c r="V38" s="6">
        <v>24054.344000000001</v>
      </c>
      <c r="W38" s="6">
        <v>81066.152999999991</v>
      </c>
      <c r="X38" s="6">
        <v>11207.615</v>
      </c>
      <c r="Y38" s="6">
        <v>14572.566000000001</v>
      </c>
      <c r="Z38" s="6">
        <v>58969.459000000003</v>
      </c>
      <c r="AA38" s="6">
        <v>4257.0339999999997</v>
      </c>
      <c r="AB38" s="6">
        <v>40498.44</v>
      </c>
      <c r="AC38" s="6">
        <v>78785.114000000001</v>
      </c>
      <c r="AD38" s="6">
        <v>660338.45299999998</v>
      </c>
      <c r="AE38" s="6">
        <v>204668.859</v>
      </c>
      <c r="AF38" s="6">
        <f t="shared" si="16"/>
        <v>455669.59399999998</v>
      </c>
      <c r="AG38" s="6">
        <v>777037.4</v>
      </c>
      <c r="AH38" s="6">
        <f t="shared" si="17"/>
        <v>321367.80600000004</v>
      </c>
      <c r="AI38" s="7">
        <v>0.82421999999999995</v>
      </c>
      <c r="AJ38" s="6">
        <v>57844.247000000003</v>
      </c>
      <c r="AK38" s="4">
        <f t="shared" si="18"/>
        <v>0.30994538947438821</v>
      </c>
      <c r="AL38" s="4">
        <f t="shared" si="19"/>
        <v>0.69005461052561179</v>
      </c>
      <c r="AM38" s="6">
        <f t="shared" si="20"/>
        <v>801167.71371721139</v>
      </c>
      <c r="AN38" s="6">
        <f t="shared" si="23"/>
        <v>248318.23906238627</v>
      </c>
      <c r="AO38" s="6">
        <f t="shared" si="24"/>
        <v>552849.47465482517</v>
      </c>
      <c r="AP38" s="6">
        <f t="shared" si="25"/>
        <v>942754.84700686717</v>
      </c>
      <c r="AQ38" s="6">
        <f t="shared" si="26"/>
        <v>389905.372352042</v>
      </c>
      <c r="AR38" s="7">
        <v>0.76998999999999995</v>
      </c>
      <c r="AS38" s="7">
        <v>0.58567999999999998</v>
      </c>
      <c r="AT38" s="7">
        <v>0.94045000000000001</v>
      </c>
      <c r="AU38" s="7">
        <v>0.68653000000000008</v>
      </c>
      <c r="AV38" s="7">
        <v>0.88359999999999994</v>
      </c>
      <c r="AW38" s="7">
        <v>0.93264999999999998</v>
      </c>
      <c r="AX38" s="7">
        <v>0.74811000000000005</v>
      </c>
      <c r="AY38" s="7">
        <v>1.9616399999999998</v>
      </c>
      <c r="AZ38" s="7">
        <v>1.2601900000000001</v>
      </c>
      <c r="BA38" s="7">
        <v>0.62224999999999997</v>
      </c>
      <c r="BB38" s="7">
        <v>0.72197999999999996</v>
      </c>
      <c r="BC38" s="7">
        <v>0.87879999999999991</v>
      </c>
      <c r="BD38" s="7">
        <v>0.72197999999999996</v>
      </c>
      <c r="BE38" s="7">
        <v>0.87879999999999991</v>
      </c>
      <c r="BF38" s="7">
        <v>0.82421999999999995</v>
      </c>
      <c r="BG38" s="7">
        <v>-0.1122162340453596</v>
      </c>
      <c r="BH38" s="7">
        <f>LN(AG38)-BG38</f>
        <v>13.67545999608488</v>
      </c>
      <c r="BI38" s="7">
        <f>LN(AR38/$BF38)</f>
        <v>-6.8059956814758252E-2</v>
      </c>
      <c r="BJ38" s="7">
        <f>LN(AS38/$BF38)</f>
        <v>-0.34166391922678147</v>
      </c>
      <c r="BK38" s="7">
        <f>LN(AT38/$BF38)</f>
        <v>0.13192099955164485</v>
      </c>
      <c r="BL38" s="7">
        <f>LN(AU38/$BF38)</f>
        <v>-0.18278756038479005</v>
      </c>
      <c r="BM38" s="7">
        <f>LN(AV38/$BF38)</f>
        <v>6.9566986980793222E-2</v>
      </c>
      <c r="BN38" s="7">
        <f>LN(AW38/$BF38)</f>
        <v>0.1235925119254029</v>
      </c>
      <c r="BO38" s="7">
        <f>LN(AX38/$BF38)</f>
        <v>-9.6887458579250782E-2</v>
      </c>
      <c r="BP38" s="7">
        <f>LN(AY38/$BF38)</f>
        <v>0.8670986524859482</v>
      </c>
      <c r="BQ38" s="7">
        <f>LN(AZ38/$BF38)</f>
        <v>0.42458029766292904</v>
      </c>
      <c r="BR38" s="7">
        <f>LN(BA38/$BF38)</f>
        <v>-0.28109554331746744</v>
      </c>
      <c r="BS38" s="7">
        <f>LN(BB38/$BF38)</f>
        <v>-0.13244004688704258</v>
      </c>
      <c r="BT38" s="7">
        <f>LN(BC38/$BF38)</f>
        <v>6.4119855945286422E-2</v>
      </c>
      <c r="BU38" s="7">
        <f>LN(BD38/$BF38)</f>
        <v>-0.13244004688704258</v>
      </c>
      <c r="BV38" s="7">
        <f t="shared" si="22"/>
        <v>6.4119855945286422E-2</v>
      </c>
    </row>
    <row r="39" spans="1:74" x14ac:dyDescent="0.2">
      <c r="A39" s="4">
        <f t="shared" si="15"/>
        <v>0.13701894019143002</v>
      </c>
      <c r="B39" s="4">
        <f t="shared" si="1"/>
        <v>3.7041572543376367E-2</v>
      </c>
      <c r="C39" s="4">
        <f t="shared" si="2"/>
        <v>5.5683197414412869E-2</v>
      </c>
      <c r="D39" s="4">
        <f t="shared" si="3"/>
        <v>8.1757455310366642E-2</v>
      </c>
      <c r="E39" s="4">
        <f t="shared" si="4"/>
        <v>0.1559839844463258</v>
      </c>
      <c r="F39" s="4">
        <f t="shared" si="5"/>
        <v>5.5661067423947969E-2</v>
      </c>
      <c r="G39" s="4">
        <f t="shared" si="6"/>
        <v>3.6214285179809604E-2</v>
      </c>
      <c r="H39" s="4">
        <f t="shared" si="7"/>
        <v>0.1254586250379735</v>
      </c>
      <c r="I39" s="4">
        <f t="shared" si="8"/>
        <v>1.7503842061489402E-2</v>
      </c>
      <c r="J39" s="4">
        <f t="shared" si="9"/>
        <v>2.2324023923438539E-2</v>
      </c>
      <c r="K39" s="4">
        <f t="shared" si="10"/>
        <v>8.8323442971987631E-2</v>
      </c>
      <c r="L39" s="4">
        <f t="shared" si="11"/>
        <v>6.3531361640332034E-3</v>
      </c>
      <c r="M39" s="4">
        <f t="shared" si="12"/>
        <v>5.8686151097689584E-2</v>
      </c>
      <c r="N39" s="4">
        <f t="shared" si="13"/>
        <v>0.12199027623371882</v>
      </c>
      <c r="O39" s="5">
        <v>1996</v>
      </c>
      <c r="P39" s="6">
        <v>93498.595000000001</v>
      </c>
      <c r="Q39" s="6">
        <v>25276.323</v>
      </c>
      <c r="R39" s="6">
        <v>37996.942000000003</v>
      </c>
      <c r="S39" s="6">
        <v>55789.42</v>
      </c>
      <c r="T39" s="6">
        <v>106439.90800000001</v>
      </c>
      <c r="U39" s="6">
        <v>37981.841</v>
      </c>
      <c r="V39" s="6">
        <v>24711.800999999999</v>
      </c>
      <c r="W39" s="6">
        <v>85610.1</v>
      </c>
      <c r="X39" s="6">
        <v>11944.222</v>
      </c>
      <c r="Y39" s="6">
        <v>15233.404</v>
      </c>
      <c r="Z39" s="6">
        <v>60269.9</v>
      </c>
      <c r="AA39" s="6">
        <v>4335.2349999999997</v>
      </c>
      <c r="AB39" s="6">
        <v>40046.089</v>
      </c>
      <c r="AC39" s="6">
        <v>83243.377999999997</v>
      </c>
      <c r="AD39" s="6">
        <v>682377.15800000005</v>
      </c>
      <c r="AE39" s="6">
        <v>214618.45300000001</v>
      </c>
      <c r="AF39" s="6">
        <f t="shared" si="16"/>
        <v>467758.70500000007</v>
      </c>
      <c r="AG39" s="6">
        <v>795981.3</v>
      </c>
      <c r="AH39" s="6">
        <f t="shared" si="17"/>
        <v>328222.59499999997</v>
      </c>
      <c r="AI39" s="7">
        <v>0.83700999999999992</v>
      </c>
      <c r="AJ39" s="6">
        <v>58025.988499999999</v>
      </c>
      <c r="AK39" s="4">
        <f t="shared" si="18"/>
        <v>0.31451588096681277</v>
      </c>
      <c r="AL39" s="4">
        <f t="shared" si="19"/>
        <v>0.68548411903318729</v>
      </c>
      <c r="AM39" s="6">
        <f t="shared" si="20"/>
        <v>815255.68153307622</v>
      </c>
      <c r="AN39" s="6">
        <f t="shared" si="23"/>
        <v>256410.85889057483</v>
      </c>
      <c r="AO39" s="6">
        <f t="shared" si="24"/>
        <v>558844.82264250144</v>
      </c>
      <c r="AP39" s="6">
        <f t="shared" si="25"/>
        <v>950981.82817409607</v>
      </c>
      <c r="AQ39" s="6">
        <f t="shared" si="26"/>
        <v>392137.00553159462</v>
      </c>
      <c r="AR39" s="7">
        <v>0.77681</v>
      </c>
      <c r="AS39" s="7">
        <v>0.61057000000000006</v>
      </c>
      <c r="AT39" s="7">
        <v>0.94846999999999992</v>
      </c>
      <c r="AU39" s="7">
        <v>0.70075999999999994</v>
      </c>
      <c r="AV39" s="7">
        <v>0.90227999999999997</v>
      </c>
      <c r="AW39" s="7">
        <v>0.94429000000000007</v>
      </c>
      <c r="AX39" s="7">
        <v>0.76533000000000007</v>
      </c>
      <c r="AY39" s="7">
        <v>1.9073800000000001</v>
      </c>
      <c r="AZ39" s="7">
        <v>1.26397</v>
      </c>
      <c r="BA39" s="7">
        <v>0.63151999999999997</v>
      </c>
      <c r="BB39" s="7">
        <v>0.73760999999999999</v>
      </c>
      <c r="BC39" s="7">
        <v>0.88962999999999992</v>
      </c>
      <c r="BD39" s="7">
        <v>0.73760999999999999</v>
      </c>
      <c r="BE39" s="7">
        <v>0.88962999999999992</v>
      </c>
      <c r="BF39" s="7">
        <v>0.83700999999999992</v>
      </c>
      <c r="BG39" s="7">
        <v>-9.8712773056769385E-2</v>
      </c>
      <c r="BH39" s="7">
        <f>LN(AG39)-BG39</f>
        <v>13.686043745145026</v>
      </c>
      <c r="BI39" s="7">
        <f>LN(AR39/$BF39)</f>
        <v>-7.4640227628685316E-2</v>
      </c>
      <c r="BJ39" s="7">
        <f>LN(AS39/$BF39)</f>
        <v>-0.31544307075695649</v>
      </c>
      <c r="BK39" s="7">
        <f>LN(AT39/$BF39)</f>
        <v>0.12501414213774012</v>
      </c>
      <c r="BL39" s="7">
        <f>LN(AU39/$BF39)</f>
        <v>-0.17767055748178634</v>
      </c>
      <c r="BM39" s="7">
        <f>LN(AV39/$BF39)</f>
        <v>7.5088875328528218E-2</v>
      </c>
      <c r="BN39" s="7">
        <f>LN(AW39/$BF39)</f>
        <v>0.1205973045086241</v>
      </c>
      <c r="BO39" s="7">
        <f>LN(AX39/$BF39)</f>
        <v>-8.9528904488241759E-2</v>
      </c>
      <c r="BP39" s="7">
        <f>LN(AY39/$BF39)</f>
        <v>0.82364983376281808</v>
      </c>
      <c r="BQ39" s="7">
        <f>LN(AZ39/$BF39)</f>
        <v>0.41217682239852005</v>
      </c>
      <c r="BR39" s="7">
        <f>LN(BA39/$BF39)</f>
        <v>-0.28170640593487056</v>
      </c>
      <c r="BS39" s="7">
        <f>LN(BB39/$BF39)</f>
        <v>-0.12642078821519429</v>
      </c>
      <c r="BT39" s="7">
        <f>LN(BC39/$BF39)</f>
        <v>6.0969628099884654E-2</v>
      </c>
      <c r="BU39" s="7">
        <f>LN(BD39/$BF39)</f>
        <v>-0.12642078821519429</v>
      </c>
      <c r="BV39" s="7">
        <f t="shared" si="22"/>
        <v>6.0969628099884654E-2</v>
      </c>
    </row>
    <row r="40" spans="1:74" x14ac:dyDescent="0.2">
      <c r="A40" s="4">
        <f t="shared" si="15"/>
        <v>0.13802833842783443</v>
      </c>
      <c r="B40" s="4">
        <f t="shared" si="1"/>
        <v>3.7351241441996218E-2</v>
      </c>
      <c r="C40" s="4">
        <f t="shared" si="2"/>
        <v>5.5637976371115269E-2</v>
      </c>
      <c r="D40" s="4">
        <f t="shared" si="3"/>
        <v>7.7295222010735201E-2</v>
      </c>
      <c r="E40" s="4">
        <f t="shared" si="4"/>
        <v>0.16202112405392197</v>
      </c>
      <c r="F40" s="4">
        <f t="shared" si="5"/>
        <v>5.5778484696694393E-2</v>
      </c>
      <c r="G40" s="4">
        <f t="shared" si="6"/>
        <v>3.6184187732370615E-2</v>
      </c>
      <c r="H40" s="4">
        <f t="shared" si="7"/>
        <v>0.11780464723652018</v>
      </c>
      <c r="I40" s="4">
        <f t="shared" si="8"/>
        <v>1.8306094763543106E-2</v>
      </c>
      <c r="J40" s="4">
        <f t="shared" si="9"/>
        <v>2.2709214047506233E-2</v>
      </c>
      <c r="K40" s="4">
        <f t="shared" si="10"/>
        <v>8.9780837969384117E-2</v>
      </c>
      <c r="L40" s="4">
        <f t="shared" si="11"/>
        <v>7.0629800937723336E-3</v>
      </c>
      <c r="M40" s="4">
        <f t="shared" si="12"/>
        <v>5.9947495979155663E-2</v>
      </c>
      <c r="N40" s="4">
        <f t="shared" si="13"/>
        <v>0.12209215517545029</v>
      </c>
      <c r="O40" s="5">
        <v>1997</v>
      </c>
      <c r="P40" s="6">
        <v>95772.237999999998</v>
      </c>
      <c r="Q40" s="6">
        <v>25916.504000000001</v>
      </c>
      <c r="R40" s="6">
        <v>38604.923999999999</v>
      </c>
      <c r="S40" s="6">
        <v>53632.003999999994</v>
      </c>
      <c r="T40" s="6">
        <v>112419.85400000002</v>
      </c>
      <c r="U40" s="6">
        <v>38702.417000000001</v>
      </c>
      <c r="V40" s="6">
        <v>25106.733</v>
      </c>
      <c r="W40" s="6">
        <v>81739.842999999993</v>
      </c>
      <c r="X40" s="6">
        <v>12701.852999999999</v>
      </c>
      <c r="Y40" s="6">
        <v>15756.998</v>
      </c>
      <c r="Z40" s="6">
        <v>62295.264000000003</v>
      </c>
      <c r="AA40" s="6">
        <v>4900.7139999999999</v>
      </c>
      <c r="AB40" s="6">
        <v>41595.124000000003</v>
      </c>
      <c r="AC40" s="6">
        <v>84714.77</v>
      </c>
      <c r="AD40" s="6">
        <v>693859.24</v>
      </c>
      <c r="AE40" s="6">
        <v>217692.11499999999</v>
      </c>
      <c r="AF40" s="6">
        <f t="shared" si="16"/>
        <v>476167.125</v>
      </c>
      <c r="AG40" s="6">
        <v>817156.8</v>
      </c>
      <c r="AH40" s="6">
        <f t="shared" si="17"/>
        <v>340989.67500000005</v>
      </c>
      <c r="AI40" s="7">
        <v>0.84346999999999994</v>
      </c>
      <c r="AJ40" s="6">
        <v>58207.49</v>
      </c>
      <c r="AK40" s="4">
        <f t="shared" si="18"/>
        <v>0.3137410334119064</v>
      </c>
      <c r="AL40" s="4">
        <f t="shared" si="19"/>
        <v>0.6862589665880936</v>
      </c>
      <c r="AM40" s="6">
        <f t="shared" si="20"/>
        <v>822624.68137574545</v>
      </c>
      <c r="AN40" s="6">
        <f t="shared" si="23"/>
        <v>258091.11764496664</v>
      </c>
      <c r="AO40" s="6">
        <f t="shared" si="24"/>
        <v>564533.56373077887</v>
      </c>
      <c r="AP40" s="6">
        <f t="shared" si="25"/>
        <v>968803.63261289685</v>
      </c>
      <c r="AQ40" s="6">
        <f t="shared" si="26"/>
        <v>404270.06888211798</v>
      </c>
      <c r="AR40" s="7">
        <v>0.79016999999999993</v>
      </c>
      <c r="AS40" s="7">
        <v>0.63934000000000002</v>
      </c>
      <c r="AT40" s="7">
        <v>0.95340999999999998</v>
      </c>
      <c r="AU40" s="7">
        <v>0.71431</v>
      </c>
      <c r="AV40" s="7">
        <v>0.9111499999999999</v>
      </c>
      <c r="AW40" s="7">
        <v>0.94894999999999996</v>
      </c>
      <c r="AX40" s="7">
        <v>0.77122000000000002</v>
      </c>
      <c r="AY40" s="7">
        <v>1.8427699999999998</v>
      </c>
      <c r="AZ40" s="7">
        <v>1.24671</v>
      </c>
      <c r="BA40" s="7">
        <v>0.64009000000000005</v>
      </c>
      <c r="BB40" s="7">
        <v>0.74946000000000002</v>
      </c>
      <c r="BC40" s="7">
        <v>0.87575000000000003</v>
      </c>
      <c r="BD40" s="7">
        <v>0.74946000000000002</v>
      </c>
      <c r="BE40" s="7">
        <v>0.87575000000000003</v>
      </c>
      <c r="BF40" s="7">
        <v>0.84346999999999994</v>
      </c>
      <c r="BG40" s="7">
        <v>-9.967475161281325E-2</v>
      </c>
      <c r="BH40" s="7">
        <f>LN(AG40)-BG40</f>
        <v>13.713261028704974</v>
      </c>
      <c r="BI40" s="7">
        <f>LN(AR40/$BF40)</f>
        <v>-6.5276223075412018E-2</v>
      </c>
      <c r="BJ40" s="7">
        <f>LN(AS40/$BF40)</f>
        <v>-0.27708794101029377</v>
      </c>
      <c r="BK40" s="7">
        <f>LN(AT40/$BF40)</f>
        <v>0.12252069623285002</v>
      </c>
      <c r="BL40" s="7">
        <f>LN(AU40/$BF40)</f>
        <v>-0.1662072934769398</v>
      </c>
      <c r="BM40" s="7">
        <f>LN(AV40/$BF40)</f>
        <v>7.7183202672186979E-2</v>
      </c>
      <c r="BN40" s="7">
        <f>LN(AW40/$BF40)</f>
        <v>0.11783177492305151</v>
      </c>
      <c r="BO40" s="7">
        <f>LN(AX40/$BF40)</f>
        <v>-8.9550658689852874E-2</v>
      </c>
      <c r="BP40" s="7">
        <f>LN(AY40/$BF40)</f>
        <v>0.78150081809481053</v>
      </c>
      <c r="BQ40" s="7">
        <f>LN(AZ40/$BF40)</f>
        <v>0.39073902523478715</v>
      </c>
      <c r="BR40" s="7">
        <f>LN(BA40/$BF40)</f>
        <v>-0.27591554379292782</v>
      </c>
      <c r="BS40" s="7">
        <f>LN(BB40/$BF40)</f>
        <v>-0.11817138805400411</v>
      </c>
      <c r="BT40" s="7">
        <f>LN(BC40/$BF40)</f>
        <v>3.755632681771913E-2</v>
      </c>
      <c r="BU40" s="7">
        <f>LN(BD40/$BF40)</f>
        <v>-0.11817138805400411</v>
      </c>
      <c r="BV40" s="7">
        <f t="shared" si="22"/>
        <v>3.755632681771913E-2</v>
      </c>
    </row>
    <row r="41" spans="1:74" x14ac:dyDescent="0.2">
      <c r="A41" s="4">
        <f t="shared" si="15"/>
        <v>0.13609958150421056</v>
      </c>
      <c r="B41" s="4">
        <f t="shared" si="1"/>
        <v>3.7382376543688214E-2</v>
      </c>
      <c r="C41" s="4">
        <f t="shared" si="2"/>
        <v>5.4097263095728293E-2</v>
      </c>
      <c r="D41" s="4">
        <f t="shared" si="3"/>
        <v>7.6071370432810689E-2</v>
      </c>
      <c r="E41" s="4">
        <f t="shared" si="4"/>
        <v>0.16232030163942926</v>
      </c>
      <c r="F41" s="4">
        <f t="shared" si="5"/>
        <v>5.5419252702622761E-2</v>
      </c>
      <c r="G41" s="4">
        <f t="shared" si="6"/>
        <v>3.5616848403806467E-2</v>
      </c>
      <c r="H41" s="4">
        <f t="shared" si="7"/>
        <v>0.12023299997368525</v>
      </c>
      <c r="I41" s="4">
        <f t="shared" si="8"/>
        <v>1.8571047732111622E-2</v>
      </c>
      <c r="J41" s="4">
        <f t="shared" si="9"/>
        <v>2.3105622986790236E-2</v>
      </c>
      <c r="K41" s="4">
        <f t="shared" si="10"/>
        <v>9.2618352139099455E-2</v>
      </c>
      <c r="L41" s="4">
        <f t="shared" si="11"/>
        <v>6.9179627090747283E-3</v>
      </c>
      <c r="M41" s="4">
        <f t="shared" si="12"/>
        <v>6.1629132173104825E-2</v>
      </c>
      <c r="N41" s="4">
        <f t="shared" si="13"/>
        <v>0.11991788796383758</v>
      </c>
      <c r="O41" s="5">
        <v>1998</v>
      </c>
      <c r="P41" s="6">
        <v>98469.542000000001</v>
      </c>
      <c r="Q41" s="6">
        <v>27046.560000000001</v>
      </c>
      <c r="R41" s="6">
        <v>39139.964</v>
      </c>
      <c r="S41" s="6">
        <v>55038.472000000002</v>
      </c>
      <c r="T41" s="6">
        <v>117440.52099999998</v>
      </c>
      <c r="U41" s="6">
        <v>40096.438000000002</v>
      </c>
      <c r="V41" s="6">
        <v>25769.181</v>
      </c>
      <c r="W41" s="6">
        <v>86989.895999999993</v>
      </c>
      <c r="X41" s="6">
        <v>13436.357</v>
      </c>
      <c r="Y41" s="6">
        <v>16717.171999999999</v>
      </c>
      <c r="Z41" s="6">
        <v>67010.395000000004</v>
      </c>
      <c r="AA41" s="6">
        <v>5005.2219999999998</v>
      </c>
      <c r="AB41" s="6">
        <v>44589.353999999999</v>
      </c>
      <c r="AC41" s="6">
        <v>86761.909</v>
      </c>
      <c r="AD41" s="6">
        <v>723510.98300000001</v>
      </c>
      <c r="AE41" s="6">
        <v>224955.625</v>
      </c>
      <c r="AF41" s="6">
        <f t="shared" si="16"/>
        <v>498555.35800000001</v>
      </c>
      <c r="AG41" s="6">
        <v>845668.7</v>
      </c>
      <c r="AH41" s="6">
        <f t="shared" si="17"/>
        <v>347113.34199999995</v>
      </c>
      <c r="AI41" s="7">
        <v>0.84511999999999998</v>
      </c>
      <c r="AJ41" s="6">
        <v>58397.787499999999</v>
      </c>
      <c r="AK41" s="4">
        <f t="shared" si="18"/>
        <v>0.31092219784588948</v>
      </c>
      <c r="AL41" s="4">
        <f t="shared" si="19"/>
        <v>0.68907780215411052</v>
      </c>
      <c r="AM41" s="6">
        <f t="shared" si="20"/>
        <v>856104.43842294591</v>
      </c>
      <c r="AN41" s="6">
        <f t="shared" si="23"/>
        <v>266181.87358008331</v>
      </c>
      <c r="AO41" s="6">
        <f t="shared" si="24"/>
        <v>589922.56484286254</v>
      </c>
      <c r="AP41" s="6">
        <f t="shared" si="25"/>
        <v>1000649.2569102612</v>
      </c>
      <c r="AQ41" s="6">
        <f t="shared" si="26"/>
        <v>410726.69206739863</v>
      </c>
      <c r="AR41" s="7">
        <v>0.80345</v>
      </c>
      <c r="AS41" s="7">
        <v>0.65215000000000001</v>
      </c>
      <c r="AT41" s="7">
        <v>0.9515300000000001</v>
      </c>
      <c r="AU41" s="7">
        <v>0.72762000000000004</v>
      </c>
      <c r="AV41" s="7">
        <v>0.9211100000000001</v>
      </c>
      <c r="AW41" s="7">
        <v>0.95291999999999999</v>
      </c>
      <c r="AX41" s="7">
        <v>0.77064999999999995</v>
      </c>
      <c r="AY41" s="7">
        <v>1.70353</v>
      </c>
      <c r="AZ41" s="7">
        <v>1.2141599999999999</v>
      </c>
      <c r="BA41" s="7">
        <v>0.64879999999999993</v>
      </c>
      <c r="BB41" s="7">
        <v>0.76263000000000003</v>
      </c>
      <c r="BC41" s="7">
        <v>0.85620000000000007</v>
      </c>
      <c r="BD41" s="7">
        <v>0.76263000000000003</v>
      </c>
      <c r="BE41" s="7">
        <v>0.85620000000000007</v>
      </c>
      <c r="BF41" s="7">
        <v>0.84511999999999998</v>
      </c>
      <c r="BG41" s="7">
        <v>-0.10176506683173248</v>
      </c>
      <c r="BH41" s="7">
        <f>LN(AG41)-BG41</f>
        <v>13.749648021156816</v>
      </c>
      <c r="BI41" s="7">
        <f>LN(AR41/$BF41)</f>
        <v>-5.0563673621005167E-2</v>
      </c>
      <c r="BJ41" s="7">
        <f>LN(AS41/$BF41)</f>
        <v>-0.25920403229247524</v>
      </c>
      <c r="BK41" s="7">
        <f>LN(AT41/$BF41)</f>
        <v>0.11859258629488036</v>
      </c>
      <c r="BL41" s="7">
        <f>LN(AU41/$BF41)</f>
        <v>-0.14969969521201187</v>
      </c>
      <c r="BM41" s="7">
        <f>LN(AV41/$BF41)</f>
        <v>8.6100835411008825E-2</v>
      </c>
      <c r="BN41" s="7">
        <f>LN(AW41/$BF41)</f>
        <v>0.12005232558635244</v>
      </c>
      <c r="BO41" s="7">
        <f>LN(AX41/$BF41)</f>
        <v>-9.2244314516038609E-2</v>
      </c>
      <c r="BP41" s="7">
        <f>LN(AY41/$BF41)</f>
        <v>0.70097921863847701</v>
      </c>
      <c r="BQ41" s="7">
        <f>LN(AZ41/$BF41)</f>
        <v>0.36232912954302288</v>
      </c>
      <c r="BR41" s="7">
        <f>LN(BA41/$BF41)</f>
        <v>-0.26435412630756439</v>
      </c>
      <c r="BS41" s="7">
        <f>LN(BB41/$BF41)</f>
        <v>-0.10270564335599779</v>
      </c>
      <c r="BT41" s="7">
        <f>LN(BC41/$BF41)</f>
        <v>1.3025364602078504E-2</v>
      </c>
      <c r="BU41" s="7">
        <f>LN(BD41/$BF41)</f>
        <v>-0.10270564335599779</v>
      </c>
      <c r="BV41" s="7">
        <f t="shared" si="22"/>
        <v>1.3025364602078504E-2</v>
      </c>
    </row>
    <row r="42" spans="1:74" x14ac:dyDescent="0.2">
      <c r="A42" s="4">
        <f t="shared" si="15"/>
        <v>0.13421306528773896</v>
      </c>
      <c r="B42" s="4">
        <f t="shared" si="1"/>
        <v>3.7751894708940172E-2</v>
      </c>
      <c r="C42" s="4">
        <f t="shared" si="2"/>
        <v>5.2987823753926036E-2</v>
      </c>
      <c r="D42" s="4">
        <f t="shared" si="3"/>
        <v>7.206028034040049E-2</v>
      </c>
      <c r="E42" s="4">
        <f t="shared" si="4"/>
        <v>0.16478808205689754</v>
      </c>
      <c r="F42" s="4">
        <f t="shared" si="5"/>
        <v>5.5314863646595921E-2</v>
      </c>
      <c r="G42" s="4">
        <f t="shared" si="6"/>
        <v>3.576473510853638E-2</v>
      </c>
      <c r="H42" s="4">
        <f t="shared" si="7"/>
        <v>0.1246358468706371</v>
      </c>
      <c r="I42" s="4">
        <f t="shared" si="8"/>
        <v>1.9114207050966604E-2</v>
      </c>
      <c r="J42" s="4">
        <f t="shared" si="9"/>
        <v>2.5425731684453473E-2</v>
      </c>
      <c r="K42" s="4">
        <f t="shared" si="10"/>
        <v>9.3781929662990191E-2</v>
      </c>
      <c r="L42" s="4">
        <f t="shared" si="11"/>
        <v>6.8586071171456873E-3</v>
      </c>
      <c r="M42" s="4">
        <f t="shared" si="12"/>
        <v>6.3160276437630947E-2</v>
      </c>
      <c r="N42" s="4">
        <f t="shared" si="13"/>
        <v>0.11414265627314048</v>
      </c>
      <c r="O42" s="5">
        <v>1999</v>
      </c>
      <c r="P42" s="6">
        <v>100261.67</v>
      </c>
      <c r="Q42" s="6">
        <v>28201.934000000001</v>
      </c>
      <c r="R42" s="6">
        <v>39583.684999999998</v>
      </c>
      <c r="S42" s="6">
        <v>53831.451000000001</v>
      </c>
      <c r="T42" s="6">
        <v>123102.23499999999</v>
      </c>
      <c r="U42" s="6">
        <v>41322.061999999998</v>
      </c>
      <c r="V42" s="6">
        <v>26717.458999999999</v>
      </c>
      <c r="W42" s="6">
        <v>93107.165999999997</v>
      </c>
      <c r="X42" s="6">
        <v>14278.955</v>
      </c>
      <c r="Y42" s="6">
        <v>18993.876</v>
      </c>
      <c r="Z42" s="6">
        <v>70058.252999999997</v>
      </c>
      <c r="AA42" s="6">
        <v>5123.6099999999997</v>
      </c>
      <c r="AB42" s="6">
        <v>47182.849000000002</v>
      </c>
      <c r="AC42" s="6">
        <v>85268.4</v>
      </c>
      <c r="AD42" s="6">
        <v>747033.60499999998</v>
      </c>
      <c r="AE42" s="6">
        <v>227542.609</v>
      </c>
      <c r="AF42" s="6">
        <f t="shared" si="16"/>
        <v>519490.99599999998</v>
      </c>
      <c r="AG42" s="6">
        <v>867141.7</v>
      </c>
      <c r="AH42" s="6">
        <f t="shared" si="17"/>
        <v>347650.70399999997</v>
      </c>
      <c r="AI42" s="7">
        <v>0.84079999999999999</v>
      </c>
      <c r="AJ42" s="6">
        <v>58677.405500000001</v>
      </c>
      <c r="AK42" s="4">
        <f t="shared" si="18"/>
        <v>0.30459487696005322</v>
      </c>
      <c r="AL42" s="4">
        <f t="shared" si="19"/>
        <v>0.69540512303994673</v>
      </c>
      <c r="AM42" s="6">
        <f t="shared" si="20"/>
        <v>888479.54923882021</v>
      </c>
      <c r="AN42" s="6">
        <f t="shared" si="23"/>
        <v>270626.318981922</v>
      </c>
      <c r="AO42" s="6">
        <f t="shared" si="24"/>
        <v>617853.23025689821</v>
      </c>
      <c r="AP42" s="6">
        <f t="shared" si="25"/>
        <v>1031329.3292102759</v>
      </c>
      <c r="AQ42" s="6">
        <f t="shared" si="26"/>
        <v>413476.09895337769</v>
      </c>
      <c r="AR42" s="7">
        <v>0.80465000000000009</v>
      </c>
      <c r="AS42" s="7">
        <v>0.67061999999999999</v>
      </c>
      <c r="AT42" s="7">
        <v>0.95250000000000001</v>
      </c>
      <c r="AU42" s="7">
        <v>0.73700999999999994</v>
      </c>
      <c r="AV42" s="7">
        <v>0.92445999999999995</v>
      </c>
      <c r="AW42" s="7">
        <v>0.95649000000000006</v>
      </c>
      <c r="AX42" s="7">
        <v>0.77864</v>
      </c>
      <c r="AY42" s="7">
        <v>1.5490999999999999</v>
      </c>
      <c r="AZ42" s="7">
        <v>1.1794100000000001</v>
      </c>
      <c r="BA42" s="7">
        <v>0.65447999999999995</v>
      </c>
      <c r="BB42" s="7">
        <v>0.77444999999999997</v>
      </c>
      <c r="BC42" s="7">
        <v>0.80688000000000004</v>
      </c>
      <c r="BD42" s="7">
        <v>0.77444999999999997</v>
      </c>
      <c r="BE42" s="7">
        <v>0.80688000000000004</v>
      </c>
      <c r="BF42" s="7">
        <v>0.84079999999999999</v>
      </c>
      <c r="BG42" s="7">
        <v>-0.11232912097344935</v>
      </c>
      <c r="BH42" s="7">
        <f>LN(AG42)-BG42</f>
        <v>13.785286800521295</v>
      </c>
      <c r="BI42" s="7">
        <f>LN(AR42/$BF42)</f>
        <v>-4.3946419298237373E-2</v>
      </c>
      <c r="BJ42" s="7">
        <f>LN(AS42/$BF42)</f>
        <v>-0.22615116193716628</v>
      </c>
      <c r="BK42" s="7">
        <f>LN(AT42/$BF42)</f>
        <v>0.12473628743811477</v>
      </c>
      <c r="BL42" s="7">
        <f>LN(AU42/$BF42)</f>
        <v>-0.13175235894442519</v>
      </c>
      <c r="BM42" s="7">
        <f>LN(AV42/$BF42)</f>
        <v>9.4855963697799361E-2</v>
      </c>
      <c r="BN42" s="7">
        <f>LN(AW42/$BF42)</f>
        <v>0.12891651447985142</v>
      </c>
      <c r="BO42" s="7">
        <f>LN(AX42/$BF42)</f>
        <v>-7.6805011444503204E-2</v>
      </c>
      <c r="BP42" s="7">
        <f>LN(AY42/$BF42)</f>
        <v>0.61107557654957589</v>
      </c>
      <c r="BQ42" s="7">
        <f>LN(AZ42/$BF42)</f>
        <v>0.3384157728552869</v>
      </c>
      <c r="BR42" s="7">
        <f>LN(BA42/$BF42)</f>
        <v>-0.25051279235729862</v>
      </c>
      <c r="BS42" s="7">
        <f>LN(BB42/$BF42)</f>
        <v>-8.2200719568973568E-2</v>
      </c>
      <c r="BT42" s="7">
        <f>LN(BC42/$BF42)</f>
        <v>-4.1178861234326153E-2</v>
      </c>
      <c r="BU42" s="7">
        <f>LN(BD42/$BF42)</f>
        <v>-8.2200719568973568E-2</v>
      </c>
      <c r="BV42" s="7">
        <f t="shared" si="22"/>
        <v>-4.1178861234326153E-2</v>
      </c>
    </row>
    <row r="43" spans="1:74" x14ac:dyDescent="0.2">
      <c r="A43" s="4">
        <f t="shared" si="15"/>
        <v>0.13182551835095055</v>
      </c>
      <c r="B43" s="4">
        <f t="shared" si="1"/>
        <v>3.7079496574059366E-2</v>
      </c>
      <c r="C43" s="4">
        <f t="shared" si="2"/>
        <v>5.1821431195830867E-2</v>
      </c>
      <c r="D43" s="4">
        <f t="shared" si="3"/>
        <v>7.114848521789581E-2</v>
      </c>
      <c r="E43" s="4">
        <f t="shared" si="4"/>
        <v>0.15971288722440571</v>
      </c>
      <c r="F43" s="4">
        <f t="shared" si="5"/>
        <v>5.4510893941138623E-2</v>
      </c>
      <c r="G43" s="4">
        <f t="shared" si="6"/>
        <v>3.563962879521939E-2</v>
      </c>
      <c r="H43" s="4">
        <f t="shared" si="7"/>
        <v>0.12406427946674406</v>
      </c>
      <c r="I43" s="4">
        <f t="shared" si="8"/>
        <v>1.9341885321443087E-2</v>
      </c>
      <c r="J43" s="4">
        <f t="shared" si="9"/>
        <v>2.7461328326119912E-2</v>
      </c>
      <c r="K43" s="4">
        <f t="shared" si="10"/>
        <v>9.4118977031574541E-2</v>
      </c>
      <c r="L43" s="4">
        <f t="shared" si="11"/>
        <v>6.4914797046943572E-3</v>
      </c>
      <c r="M43" s="4">
        <f t="shared" si="12"/>
        <v>6.4406828825450846E-2</v>
      </c>
      <c r="N43" s="4">
        <f t="shared" si="13"/>
        <v>0.12237688002447303</v>
      </c>
      <c r="O43" s="5">
        <v>2000</v>
      </c>
      <c r="P43" s="6">
        <v>104562.342</v>
      </c>
      <c r="Q43" s="6">
        <v>29410.99</v>
      </c>
      <c r="R43" s="6">
        <v>41104.107000000004</v>
      </c>
      <c r="S43" s="6">
        <v>56434.082999999999</v>
      </c>
      <c r="T43" s="6">
        <v>126682.25199999999</v>
      </c>
      <c r="U43" s="6">
        <v>43237.355000000003</v>
      </c>
      <c r="V43" s="6">
        <v>28268.904999999999</v>
      </c>
      <c r="W43" s="6">
        <v>98406.225000000006</v>
      </c>
      <c r="X43" s="6">
        <v>15341.74</v>
      </c>
      <c r="Y43" s="6">
        <v>21781.98</v>
      </c>
      <c r="Z43" s="6">
        <v>74653.987999999998</v>
      </c>
      <c r="AA43" s="6">
        <v>5148.96</v>
      </c>
      <c r="AB43" s="6">
        <v>51086.686000000002</v>
      </c>
      <c r="AC43" s="6">
        <v>97067.801000000007</v>
      </c>
      <c r="AD43" s="6">
        <v>793187.41399999987</v>
      </c>
      <c r="AE43" s="6">
        <v>244169.348</v>
      </c>
      <c r="AF43" s="6">
        <f t="shared" si="16"/>
        <v>549018.06599999988</v>
      </c>
      <c r="AG43" s="6">
        <v>916987.4</v>
      </c>
      <c r="AH43" s="6">
        <f t="shared" si="17"/>
        <v>367969.33400000015</v>
      </c>
      <c r="AI43" s="7">
        <v>0.85995999999999995</v>
      </c>
      <c r="AJ43" s="6">
        <v>59062.385000000002</v>
      </c>
      <c r="AK43" s="4">
        <f t="shared" si="18"/>
        <v>0.30783310941441644</v>
      </c>
      <c r="AL43" s="4">
        <f t="shared" si="19"/>
        <v>0.69216689058558356</v>
      </c>
      <c r="AM43" s="6">
        <f t="shared" si="20"/>
        <v>922353.84669054369</v>
      </c>
      <c r="AN43" s="6">
        <f t="shared" si="23"/>
        <v>283931.05260709801</v>
      </c>
      <c r="AO43" s="6">
        <f t="shared" si="24"/>
        <v>638422.79408344568</v>
      </c>
      <c r="AP43" s="6">
        <f t="shared" si="25"/>
        <v>1066314.0146053305</v>
      </c>
      <c r="AQ43" s="6">
        <f t="shared" si="26"/>
        <v>427891.22052188491</v>
      </c>
      <c r="AR43" s="7">
        <v>0.82236999999999993</v>
      </c>
      <c r="AS43" s="7">
        <v>0.68859999999999999</v>
      </c>
      <c r="AT43" s="7">
        <v>0.95432000000000006</v>
      </c>
      <c r="AU43" s="7">
        <v>0.75024000000000002</v>
      </c>
      <c r="AV43" s="7">
        <v>0.92781000000000002</v>
      </c>
      <c r="AW43" s="7">
        <v>0.95587</v>
      </c>
      <c r="AX43" s="7">
        <v>0.81496999999999997</v>
      </c>
      <c r="AY43" s="7">
        <v>1.41404</v>
      </c>
      <c r="AZ43" s="7">
        <v>1.16191</v>
      </c>
      <c r="BA43" s="7">
        <v>0.65912999999999999</v>
      </c>
      <c r="BB43" s="7">
        <v>0.79017999999999999</v>
      </c>
      <c r="BC43" s="7">
        <v>0.88132999999999995</v>
      </c>
      <c r="BD43" s="7">
        <v>0.79017999999999999</v>
      </c>
      <c r="BE43" s="7">
        <v>0.88132999999999995</v>
      </c>
      <c r="BF43" s="7">
        <v>0.85995999999999995</v>
      </c>
      <c r="BG43" s="7">
        <v>-0.10337536833438815</v>
      </c>
      <c r="BH43" s="7">
        <f>LN(AG43)-BG43</f>
        <v>13.832224379020575</v>
      </c>
      <c r="BI43" s="7">
        <f>LN(AR43/$BF43)</f>
        <v>-4.46954611016286E-2</v>
      </c>
      <c r="BJ43" s="7">
        <f>LN(AS43/$BF43)</f>
        <v>-0.22222532563352371</v>
      </c>
      <c r="BK43" s="7">
        <f>LN(AT43/$BF43)</f>
        <v>0.10411316843574341</v>
      </c>
      <c r="BL43" s="7">
        <f>LN(AU43/$BF43)</f>
        <v>-0.13649272119667089</v>
      </c>
      <c r="BM43" s="7">
        <f>LN(AV43/$BF43)</f>
        <v>7.5941093906565685E-2</v>
      </c>
      <c r="BN43" s="7">
        <f>LN(AW43/$BF43)</f>
        <v>0.10573604400329373</v>
      </c>
      <c r="BO43" s="7">
        <f>LN(AX43/$BF43)</f>
        <v>-5.3734573790533244E-2</v>
      </c>
      <c r="BP43" s="7">
        <f>LN(AY43/$BF43)</f>
        <v>0.49732025806159769</v>
      </c>
      <c r="BQ43" s="7">
        <f>LN(AZ43/$BF43)</f>
        <v>0.30093460520648252</v>
      </c>
      <c r="BR43" s="7">
        <f>LN(BA43/$BF43)</f>
        <v>-0.26596509290155856</v>
      </c>
      <c r="BS43" s="7">
        <f>LN(BB43/$BF43)</f>
        <v>-8.4625108929050438E-2</v>
      </c>
      <c r="BT43" s="7">
        <f>LN(BC43/$BF43)</f>
        <v>2.4546253610107566E-2</v>
      </c>
      <c r="BU43" s="7">
        <f>LN(BD43/$BF43)</f>
        <v>-8.4625108929050438E-2</v>
      </c>
      <c r="BV43" s="7">
        <f t="shared" si="22"/>
        <v>2.4546253610107566E-2</v>
      </c>
    </row>
    <row r="44" spans="1:74" x14ac:dyDescent="0.2">
      <c r="A44" s="4">
        <f t="shared" si="15"/>
        <v>0.1336664120469731</v>
      </c>
      <c r="B44" s="4">
        <f t="shared" si="1"/>
        <v>3.7117395900796643E-2</v>
      </c>
      <c r="C44" s="4">
        <f t="shared" si="2"/>
        <v>4.997611112036212E-2</v>
      </c>
      <c r="D44" s="4">
        <f t="shared" si="3"/>
        <v>7.3885152760705619E-2</v>
      </c>
      <c r="E44" s="4">
        <f t="shared" si="4"/>
        <v>0.15675113276566616</v>
      </c>
      <c r="F44" s="4">
        <f t="shared" si="5"/>
        <v>5.3351536764298033E-2</v>
      </c>
      <c r="G44" s="4">
        <f t="shared" si="6"/>
        <v>3.5770921889510893E-2</v>
      </c>
      <c r="H44" s="4">
        <f t="shared" si="7"/>
        <v>0.12180521208112068</v>
      </c>
      <c r="I44" s="4">
        <f t="shared" si="8"/>
        <v>1.9277404585320027E-2</v>
      </c>
      <c r="J44" s="4">
        <f t="shared" si="9"/>
        <v>2.9096075043548365E-2</v>
      </c>
      <c r="K44" s="4">
        <f t="shared" si="10"/>
        <v>9.3883650409982977E-2</v>
      </c>
      <c r="L44" s="4">
        <f t="shared" si="11"/>
        <v>6.4383946238371998E-3</v>
      </c>
      <c r="M44" s="4">
        <f t="shared" si="12"/>
        <v>6.4268468447735455E-2</v>
      </c>
      <c r="N44" s="4">
        <f t="shared" si="13"/>
        <v>0.12471213156014251</v>
      </c>
      <c r="O44" s="5">
        <v>2001</v>
      </c>
      <c r="P44" s="6">
        <v>110621.837</v>
      </c>
      <c r="Q44" s="6">
        <v>30718.222000000002</v>
      </c>
      <c r="R44" s="6">
        <v>41360.048000000003</v>
      </c>
      <c r="S44" s="6">
        <v>61147.084000000003</v>
      </c>
      <c r="T44" s="6">
        <v>129726.66800000001</v>
      </c>
      <c r="U44" s="6">
        <v>44153.538</v>
      </c>
      <c r="V44" s="6">
        <v>29603.884999999998</v>
      </c>
      <c r="W44" s="6">
        <v>100805.55100000001</v>
      </c>
      <c r="X44" s="6">
        <v>15953.91</v>
      </c>
      <c r="Y44" s="6">
        <v>24079.806</v>
      </c>
      <c r="Z44" s="6">
        <v>77697.767999999996</v>
      </c>
      <c r="AA44" s="6">
        <v>5328.3919999999998</v>
      </c>
      <c r="AB44" s="6">
        <v>53188.351000000002</v>
      </c>
      <c r="AC44" s="6">
        <v>103211.307</v>
      </c>
      <c r="AD44" s="6">
        <v>827596.3670000002</v>
      </c>
      <c r="AE44" s="6">
        <v>259011.41099999999</v>
      </c>
      <c r="AF44" s="6">
        <f t="shared" si="16"/>
        <v>568584.95600000024</v>
      </c>
      <c r="AG44" s="6">
        <v>964453.5</v>
      </c>
      <c r="AH44" s="6">
        <f t="shared" si="17"/>
        <v>395868.54399999976</v>
      </c>
      <c r="AI44" s="7">
        <v>0.87646000000000002</v>
      </c>
      <c r="AJ44" s="6">
        <v>59476.235500000003</v>
      </c>
      <c r="AK44" s="4">
        <f t="shared" si="18"/>
        <v>0.31296827937863569</v>
      </c>
      <c r="AL44" s="4">
        <f t="shared" si="19"/>
        <v>0.68703172062136431</v>
      </c>
      <c r="AM44" s="6">
        <f t="shared" si="20"/>
        <v>944248.87273806019</v>
      </c>
      <c r="AN44" s="6">
        <f t="shared" si="23"/>
        <v>295519.94500604703</v>
      </c>
      <c r="AO44" s="6">
        <f t="shared" si="24"/>
        <v>648728.92773201317</v>
      </c>
      <c r="AP44" s="6">
        <f t="shared" si="25"/>
        <v>1100396.481299774</v>
      </c>
      <c r="AQ44" s="6">
        <f t="shared" si="26"/>
        <v>451667.55356776092</v>
      </c>
      <c r="AR44" s="7">
        <v>0.86702000000000001</v>
      </c>
      <c r="AS44" s="7">
        <v>0.70992</v>
      </c>
      <c r="AT44" s="7">
        <v>0.96043000000000012</v>
      </c>
      <c r="AU44" s="7">
        <v>0.76629999999999998</v>
      </c>
      <c r="AV44" s="7">
        <v>0.94460999999999995</v>
      </c>
      <c r="AW44" s="7">
        <v>0.95191000000000003</v>
      </c>
      <c r="AX44" s="7">
        <v>0.81486000000000003</v>
      </c>
      <c r="AY44" s="7">
        <v>1.3393000000000002</v>
      </c>
      <c r="AZ44" s="7">
        <v>1.1534500000000001</v>
      </c>
      <c r="BA44" s="7">
        <v>0.67209999999999992</v>
      </c>
      <c r="BB44" s="7">
        <v>0.81086999999999998</v>
      </c>
      <c r="BC44" s="7">
        <v>0.9211100000000001</v>
      </c>
      <c r="BD44" s="7">
        <v>0.81086999999999998</v>
      </c>
      <c r="BE44" s="7">
        <v>0.9211100000000001</v>
      </c>
      <c r="BF44" s="7">
        <v>0.87646000000000002</v>
      </c>
      <c r="BG44" s="7">
        <v>-8.9517566104460586E-2</v>
      </c>
      <c r="BH44" s="7">
        <f>LN(AG44)-BG44</f>
        <v>13.868834464761616</v>
      </c>
      <c r="BI44" s="7">
        <f>LN(AR44/$BF44)</f>
        <v>-1.0829022702223237E-2</v>
      </c>
      <c r="BJ44" s="7">
        <f>LN(AS44/$BF44)</f>
        <v>-0.21073877963685211</v>
      </c>
      <c r="BK44" s="7">
        <f>LN(AT44/$BF44)</f>
        <v>9.149003357637224E-2</v>
      </c>
      <c r="BL44" s="7">
        <f>LN(AU44/$BF44)</f>
        <v>-0.1343173292910928</v>
      </c>
      <c r="BM44" s="7">
        <f>LN(AV44/$BF44)</f>
        <v>7.4881076630165425E-2</v>
      </c>
      <c r="BN44" s="7">
        <f>LN(AW44/$BF44)</f>
        <v>8.2579425239807061E-2</v>
      </c>
      <c r="BO44" s="7">
        <f>LN(AX44/$BF44)</f>
        <v>-7.2874747923419442E-2</v>
      </c>
      <c r="BP44" s="7">
        <f>LN(AY44/$BF44)</f>
        <v>0.42401130112562507</v>
      </c>
      <c r="BQ44" s="7">
        <f>LN(AZ44/$BF44)</f>
        <v>0.27462166306964297</v>
      </c>
      <c r="BR44" s="7">
        <f>LN(BA44/$BF44)</f>
        <v>-0.26548392829153145</v>
      </c>
      <c r="BS44" s="7">
        <f>LN(BB44/$BF44)</f>
        <v>-7.7783321931753788E-2</v>
      </c>
      <c r="BT44" s="7">
        <f>LN(BC44/$BF44)</f>
        <v>4.9688397252324698E-2</v>
      </c>
      <c r="BU44" s="7">
        <f>LN(BD44/$BF44)</f>
        <v>-7.7783321931753788E-2</v>
      </c>
      <c r="BV44" s="7">
        <f t="shared" si="22"/>
        <v>4.9688397252324698E-2</v>
      </c>
    </row>
    <row r="45" spans="1:74" x14ac:dyDescent="0.2">
      <c r="A45" s="4">
        <f t="shared" si="15"/>
        <v>0.13467267194398766</v>
      </c>
      <c r="B45" s="4">
        <f t="shared" si="1"/>
        <v>3.748470357160303E-2</v>
      </c>
      <c r="C45" s="4">
        <f t="shared" si="2"/>
        <v>5.0359897609731752E-2</v>
      </c>
      <c r="D45" s="4">
        <f t="shared" si="3"/>
        <v>6.9105588703892079E-2</v>
      </c>
      <c r="E45" s="4">
        <f t="shared" si="4"/>
        <v>0.16251412165819124</v>
      </c>
      <c r="F45" s="4">
        <f t="shared" si="5"/>
        <v>5.3754556485669035E-2</v>
      </c>
      <c r="G45" s="4">
        <f t="shared" si="6"/>
        <v>3.6463480547763924E-2</v>
      </c>
      <c r="H45" s="4">
        <f t="shared" si="7"/>
        <v>0.11921293418195537</v>
      </c>
      <c r="I45" s="4">
        <f t="shared" si="8"/>
        <v>1.9639544110466773E-2</v>
      </c>
      <c r="J45" s="4">
        <f t="shared" si="9"/>
        <v>3.1153007734278076E-2</v>
      </c>
      <c r="K45" s="4">
        <f t="shared" si="10"/>
        <v>9.5670058277365452E-2</v>
      </c>
      <c r="L45" s="4">
        <f t="shared" si="11"/>
        <v>6.5318818890633843E-3</v>
      </c>
      <c r="M45" s="4">
        <f t="shared" si="12"/>
        <v>6.5133814286101252E-2</v>
      </c>
      <c r="N45" s="4">
        <f t="shared" si="13"/>
        <v>0.11830373899993082</v>
      </c>
      <c r="O45" s="5">
        <v>2002</v>
      </c>
      <c r="P45" s="6">
        <v>114797.952</v>
      </c>
      <c r="Q45" s="6">
        <v>31952.787</v>
      </c>
      <c r="R45" s="6">
        <v>42927.885999999999</v>
      </c>
      <c r="S45" s="6">
        <v>58907.125999999997</v>
      </c>
      <c r="T45" s="6">
        <v>138530.617</v>
      </c>
      <c r="U45" s="6">
        <v>45821.567999999999</v>
      </c>
      <c r="V45" s="6">
        <v>31082.274000000001</v>
      </c>
      <c r="W45" s="6">
        <v>101619.731</v>
      </c>
      <c r="X45" s="6">
        <v>16741.18</v>
      </c>
      <c r="Y45" s="6">
        <v>26555.51</v>
      </c>
      <c r="Z45" s="6">
        <v>81551.264999999999</v>
      </c>
      <c r="AA45" s="6">
        <v>5567.92</v>
      </c>
      <c r="AB45" s="6">
        <v>55521.498</v>
      </c>
      <c r="AC45" s="6">
        <v>100844.713</v>
      </c>
      <c r="AD45" s="6">
        <v>852422.02700000012</v>
      </c>
      <c r="AE45" s="6">
        <v>265310.174</v>
      </c>
      <c r="AF45" s="6">
        <f t="shared" si="16"/>
        <v>587111.85300000012</v>
      </c>
      <c r="AG45" s="6">
        <v>1003377.3</v>
      </c>
      <c r="AH45" s="6">
        <f t="shared" si="17"/>
        <v>416265.44699999993</v>
      </c>
      <c r="AI45" s="7">
        <v>0.88563000000000003</v>
      </c>
      <c r="AJ45" s="6">
        <v>59893.87</v>
      </c>
      <c r="AK45" s="4">
        <f t="shared" si="18"/>
        <v>0.31124274783668859</v>
      </c>
      <c r="AL45" s="4">
        <f t="shared" si="19"/>
        <v>0.68875725216331141</v>
      </c>
      <c r="AM45" s="6">
        <f t="shared" si="20"/>
        <v>962503.55904836114</v>
      </c>
      <c r="AN45" s="6">
        <f t="shared" si="23"/>
        <v>299572.25252080441</v>
      </c>
      <c r="AO45" s="6">
        <f t="shared" si="24"/>
        <v>662931.30652755674</v>
      </c>
      <c r="AP45" s="6">
        <f t="shared" si="25"/>
        <v>1132953.1519934961</v>
      </c>
      <c r="AQ45" s="6">
        <f t="shared" si="26"/>
        <v>470021.84546593938</v>
      </c>
      <c r="AR45" s="7">
        <v>0.89061000000000012</v>
      </c>
      <c r="AS45" s="7">
        <v>0.74234999999999995</v>
      </c>
      <c r="AT45" s="7">
        <v>0.96852000000000005</v>
      </c>
      <c r="AU45" s="7">
        <v>0.78747</v>
      </c>
      <c r="AV45" s="7">
        <v>0.95860000000000001</v>
      </c>
      <c r="AW45" s="7">
        <v>0.95823999999999998</v>
      </c>
      <c r="AX45" s="7">
        <v>0.82245999999999997</v>
      </c>
      <c r="AY45" s="7">
        <v>1.2940100000000001</v>
      </c>
      <c r="AZ45" s="7">
        <v>1.1481999999999999</v>
      </c>
      <c r="BA45" s="7">
        <v>0.68357000000000001</v>
      </c>
      <c r="BB45" s="7">
        <v>0.84350999999999998</v>
      </c>
      <c r="BC45" s="7">
        <v>0.88485000000000003</v>
      </c>
      <c r="BD45" s="7">
        <v>0.84350999999999998</v>
      </c>
      <c r="BE45" s="7">
        <v>0.88485000000000003</v>
      </c>
      <c r="BF45" s="7">
        <v>0.88563000000000003</v>
      </c>
      <c r="BG45" s="7">
        <v>-8.2232046148180513E-2</v>
      </c>
      <c r="BH45" s="7">
        <f>LN(AG45)-BG45</f>
        <v>13.901114213843041</v>
      </c>
      <c r="BI45" s="7">
        <f>LN(AR45/$BF45)</f>
        <v>5.6073650504983429E-3</v>
      </c>
      <c r="BJ45" s="7">
        <f>LN(AS45/$BF45)</f>
        <v>-0.17647842609341949</v>
      </c>
      <c r="BK45" s="7">
        <f>LN(AT45/$BF45)</f>
        <v>8.946987696485717E-2</v>
      </c>
      <c r="BL45" s="7">
        <f>LN(AU45/$BF45)</f>
        <v>-0.11747398142337333</v>
      </c>
      <c r="BM45" s="7">
        <f>LN(AV45/$BF45)</f>
        <v>7.9174630566106657E-2</v>
      </c>
      <c r="BN45" s="7">
        <f>LN(AW45/$BF45)</f>
        <v>7.8799012356727982E-2</v>
      </c>
      <c r="BO45" s="7">
        <f>LN(AX45/$BF45)</f>
        <v>-7.3999406921326949E-2</v>
      </c>
      <c r="BP45" s="7">
        <f>LN(AY45/$BF45)</f>
        <v>0.37920194684683156</v>
      </c>
      <c r="BQ45" s="7">
        <f>LN(AZ45/$BF45)</f>
        <v>0.25965152157411209</v>
      </c>
      <c r="BR45" s="7">
        <f>LN(BA45/$BF45)</f>
        <v>-0.25897019119402537</v>
      </c>
      <c r="BS45" s="7">
        <f>LN(BB45/$BF45)</f>
        <v>-4.8727498879123109E-2</v>
      </c>
      <c r="BT45" s="7">
        <f>LN(BC45/$BF45)</f>
        <v>-8.8111704223026415E-4</v>
      </c>
      <c r="BU45" s="7">
        <f>LN(BD45/$BF45)</f>
        <v>-4.8727498879123109E-2</v>
      </c>
      <c r="BV45" s="7">
        <f t="shared" si="22"/>
        <v>-8.8111704223026415E-4</v>
      </c>
    </row>
    <row r="46" spans="1:74" x14ac:dyDescent="0.2">
      <c r="A46" s="4">
        <f t="shared" si="15"/>
        <v>0.13552011074812945</v>
      </c>
      <c r="B46" s="4">
        <f t="shared" si="1"/>
        <v>3.6362982606847588E-2</v>
      </c>
      <c r="C46" s="4">
        <f t="shared" si="2"/>
        <v>5.0209141889914974E-2</v>
      </c>
      <c r="D46" s="4">
        <f t="shared" si="3"/>
        <v>7.2692777985329429E-2</v>
      </c>
      <c r="E46" s="4">
        <f t="shared" si="4"/>
        <v>0.16326635059578787</v>
      </c>
      <c r="F46" s="4">
        <f t="shared" si="5"/>
        <v>5.4087208563102285E-2</v>
      </c>
      <c r="G46" s="4">
        <f t="shared" si="6"/>
        <v>3.7265724598734569E-2</v>
      </c>
      <c r="H46" s="4">
        <f t="shared" si="7"/>
        <v>0.11602944313373652</v>
      </c>
      <c r="I46" s="4">
        <f t="shared" si="8"/>
        <v>1.9484133253020727E-2</v>
      </c>
      <c r="J46" s="4">
        <f t="shared" si="9"/>
        <v>3.2187335678105986E-2</v>
      </c>
      <c r="K46" s="4">
        <f t="shared" si="10"/>
        <v>9.5953809658747766E-2</v>
      </c>
      <c r="L46" s="4">
        <f t="shared" si="11"/>
        <v>6.7363713303871912E-3</v>
      </c>
      <c r="M46" s="4">
        <f t="shared" si="12"/>
        <v>6.5792963423746659E-2</v>
      </c>
      <c r="N46" s="4">
        <f t="shared" si="13"/>
        <v>0.11441164653440888</v>
      </c>
      <c r="O46" s="5">
        <v>2003</v>
      </c>
      <c r="P46" s="6">
        <v>119107.584</v>
      </c>
      <c r="Q46" s="6">
        <v>31959.146000000001</v>
      </c>
      <c r="R46" s="6">
        <v>44128.428999999996</v>
      </c>
      <c r="S46" s="6">
        <v>63889.124000000003</v>
      </c>
      <c r="T46" s="6">
        <v>143493.541</v>
      </c>
      <c r="U46" s="6">
        <v>47536.832000000002</v>
      </c>
      <c r="V46" s="6">
        <v>32752.559000000001</v>
      </c>
      <c r="W46" s="6">
        <v>101977.386</v>
      </c>
      <c r="X46" s="6">
        <v>17124.455000000002</v>
      </c>
      <c r="Y46" s="6">
        <v>28289.202000000001</v>
      </c>
      <c r="Z46" s="6">
        <v>84333.066000000006</v>
      </c>
      <c r="AA46" s="6">
        <v>5920.5450000000001</v>
      </c>
      <c r="AB46" s="6">
        <v>57824.93</v>
      </c>
      <c r="AC46" s="6">
        <v>100555.51700000001</v>
      </c>
      <c r="AD46" s="6">
        <v>878892.31600000011</v>
      </c>
      <c r="AE46" s="6">
        <v>277161.95199999999</v>
      </c>
      <c r="AF46" s="6">
        <f t="shared" si="16"/>
        <v>601730.36400000006</v>
      </c>
      <c r="AG46" s="6">
        <v>1029031.5</v>
      </c>
      <c r="AH46" s="6">
        <f t="shared" si="17"/>
        <v>427301.13599999994</v>
      </c>
      <c r="AI46" s="7">
        <v>0.90028000000000008</v>
      </c>
      <c r="AJ46" s="6">
        <v>60303.631000000001</v>
      </c>
      <c r="AK46" s="4">
        <f t="shared" si="18"/>
        <v>0.31535370938434731</v>
      </c>
      <c r="AL46" s="4">
        <f t="shared" si="19"/>
        <v>0.68464629061565263</v>
      </c>
      <c r="AM46" s="6">
        <f t="shared" si="20"/>
        <v>976243.297640734</v>
      </c>
      <c r="AN46" s="6">
        <f t="shared" si="23"/>
        <v>307861.9451726129</v>
      </c>
      <c r="AO46" s="6">
        <f t="shared" si="24"/>
        <v>668381.35246812098</v>
      </c>
      <c r="AP46" s="6">
        <f t="shared" si="25"/>
        <v>1143012.7293730839</v>
      </c>
      <c r="AQ46" s="6">
        <f t="shared" si="26"/>
        <v>474631.37690496282</v>
      </c>
      <c r="AR46" s="7">
        <v>0.91188000000000002</v>
      </c>
      <c r="AS46" s="7">
        <v>0.79947999999999997</v>
      </c>
      <c r="AT46" s="7">
        <v>0.96411000000000002</v>
      </c>
      <c r="AU46" s="7">
        <v>0.81040999999999996</v>
      </c>
      <c r="AV46" s="7">
        <v>0.96936000000000011</v>
      </c>
      <c r="AW46" s="7">
        <v>0.97611000000000003</v>
      </c>
      <c r="AX46" s="7">
        <v>0.84050000000000002</v>
      </c>
      <c r="AY46" s="7">
        <v>1.2595799999999999</v>
      </c>
      <c r="AZ46" s="7">
        <v>1.1334600000000001</v>
      </c>
      <c r="BA46" s="7">
        <v>0.70365</v>
      </c>
      <c r="BB46" s="7">
        <v>0.86108999999999991</v>
      </c>
      <c r="BC46" s="7">
        <v>0.88832999999999995</v>
      </c>
      <c r="BD46" s="7">
        <v>0.86108999999999991</v>
      </c>
      <c r="BE46" s="7">
        <v>0.88832999999999995</v>
      </c>
      <c r="BF46" s="7">
        <v>0.90028000000000008</v>
      </c>
      <c r="BG46" s="7">
        <v>-7.1249826847637546E-2</v>
      </c>
      <c r="BH46" s="7">
        <f>LN(AG46)-BG46</f>
        <v>13.915378453440177</v>
      </c>
      <c r="BI46" s="7">
        <f>LN(AR46/$BF46)</f>
        <v>1.2802576419298502E-2</v>
      </c>
      <c r="BJ46" s="7">
        <f>LN(AS46/$BF46)</f>
        <v>-0.11874430972405443</v>
      </c>
      <c r="BK46" s="7">
        <f>LN(AT46/$BF46)</f>
        <v>6.8499569934158358E-2</v>
      </c>
      <c r="BL46" s="7">
        <f>LN(AU46/$BF46)</f>
        <v>-0.10516553360666395</v>
      </c>
      <c r="BM46" s="7">
        <f>LN(AV46/$BF46)</f>
        <v>7.3930233872871912E-2</v>
      </c>
      <c r="BN46" s="7">
        <f>LN(AW46/$BF46)</f>
        <v>8.0869458930007729E-2</v>
      </c>
      <c r="BO46" s="7">
        <f>LN(AX46/$BF46)</f>
        <v>-6.8708873201724988E-2</v>
      </c>
      <c r="BP46" s="7">
        <f>LN(AY46/$BF46)</f>
        <v>0.33582778499389065</v>
      </c>
      <c r="BQ46" s="7">
        <f>LN(AZ46/$BF46)</f>
        <v>0.23032435434642068</v>
      </c>
      <c r="BR46" s="7">
        <f>LN(BA46/$BF46)</f>
        <v>-0.24642475260781863</v>
      </c>
      <c r="BS46" s="7">
        <f>LN(BB46/$BF46)</f>
        <v>-4.4506797468779599E-2</v>
      </c>
      <c r="BT46" s="7">
        <f>LN(BC46/$BF46)</f>
        <v>-1.3362530470816023E-2</v>
      </c>
      <c r="BU46" s="7">
        <f>LN(BD46/$BF46)</f>
        <v>-4.4506797468779599E-2</v>
      </c>
      <c r="BV46" s="7">
        <f t="shared" si="22"/>
        <v>-1.3362530470816023E-2</v>
      </c>
    </row>
    <row r="47" spans="1:74" x14ac:dyDescent="0.2">
      <c r="A47" s="4">
        <f t="shared" si="15"/>
        <v>0.1317321004038976</v>
      </c>
      <c r="B47" s="4">
        <f t="shared" si="1"/>
        <v>3.5599286434162929E-2</v>
      </c>
      <c r="C47" s="4">
        <f t="shared" si="2"/>
        <v>4.8816439392340268E-2</v>
      </c>
      <c r="D47" s="4">
        <f t="shared" si="3"/>
        <v>7.3365683081384914E-2</v>
      </c>
      <c r="E47" s="4">
        <f t="shared" si="4"/>
        <v>0.1637296427857734</v>
      </c>
      <c r="F47" s="4">
        <f t="shared" si="5"/>
        <v>5.4079592522585478E-2</v>
      </c>
      <c r="G47" s="4">
        <f t="shared" si="6"/>
        <v>3.7913140294764953E-2</v>
      </c>
      <c r="H47" s="4">
        <f t="shared" si="7"/>
        <v>0.11684800553735342</v>
      </c>
      <c r="I47" s="4">
        <f t="shared" si="8"/>
        <v>2.0033366899933694E-2</v>
      </c>
      <c r="J47" s="4">
        <f t="shared" si="9"/>
        <v>3.2480800640016551E-2</v>
      </c>
      <c r="K47" s="4">
        <f t="shared" si="10"/>
        <v>9.642762483027574E-2</v>
      </c>
      <c r="L47" s="4">
        <f t="shared" si="11"/>
        <v>6.9449364013781023E-3</v>
      </c>
      <c r="M47" s="4">
        <f t="shared" si="12"/>
        <v>6.5080351790538574E-2</v>
      </c>
      <c r="N47" s="4">
        <f t="shared" si="13"/>
        <v>0.11694902898559434</v>
      </c>
      <c r="O47" s="5">
        <v>2004</v>
      </c>
      <c r="P47" s="6">
        <v>120926.77499999999</v>
      </c>
      <c r="Q47" s="6">
        <v>32679.255000000001</v>
      </c>
      <c r="R47" s="6">
        <v>44812.271000000001</v>
      </c>
      <c r="S47" s="6">
        <v>67347.862999999998</v>
      </c>
      <c r="T47" s="6">
        <v>150299.71899999998</v>
      </c>
      <c r="U47" s="6">
        <v>49643.714</v>
      </c>
      <c r="V47" s="6">
        <v>34803.315000000002</v>
      </c>
      <c r="W47" s="6">
        <v>107263.54800000001</v>
      </c>
      <c r="X47" s="6">
        <v>18390.13</v>
      </c>
      <c r="Y47" s="6">
        <v>29816.562999999998</v>
      </c>
      <c r="Z47" s="6">
        <v>88518.149000000005</v>
      </c>
      <c r="AA47" s="6">
        <v>6375.2780000000002</v>
      </c>
      <c r="AB47" s="6">
        <v>59742.135999999999</v>
      </c>
      <c r="AC47" s="6">
        <v>107356.285</v>
      </c>
      <c r="AD47" s="6">
        <v>917975.00100000005</v>
      </c>
      <c r="AE47" s="6">
        <v>291375.11800000002</v>
      </c>
      <c r="AF47" s="6">
        <f t="shared" si="16"/>
        <v>626599.88300000003</v>
      </c>
      <c r="AG47" s="6">
        <v>1074974.8</v>
      </c>
      <c r="AH47" s="6">
        <f t="shared" si="17"/>
        <v>448374.91700000002</v>
      </c>
      <c r="AI47" s="7">
        <v>0.91915999999999998</v>
      </c>
      <c r="AJ47" s="6">
        <v>60734.342499999999</v>
      </c>
      <c r="AK47" s="4">
        <f t="shared" si="18"/>
        <v>0.31741073306199979</v>
      </c>
      <c r="AL47" s="4">
        <f t="shared" si="19"/>
        <v>0.68258926693800015</v>
      </c>
      <c r="AM47" s="6">
        <f t="shared" si="20"/>
        <v>998710.78049523488</v>
      </c>
      <c r="AN47" s="6">
        <f t="shared" si="23"/>
        <v>317001.52095391444</v>
      </c>
      <c r="AO47" s="6">
        <f t="shared" si="24"/>
        <v>681709.25954132038</v>
      </c>
      <c r="AP47" s="6">
        <f t="shared" si="25"/>
        <v>1169518.6909787199</v>
      </c>
      <c r="AQ47" s="6">
        <f t="shared" si="26"/>
        <v>487809.43143739941</v>
      </c>
      <c r="AR47" s="7">
        <v>0.91339000000000004</v>
      </c>
      <c r="AS47" s="7">
        <v>0.89218000000000008</v>
      </c>
      <c r="AT47" s="7">
        <v>0.96653000000000011</v>
      </c>
      <c r="AU47" s="7">
        <v>0.83659000000000006</v>
      </c>
      <c r="AV47" s="7">
        <v>0.97665000000000002</v>
      </c>
      <c r="AW47" s="7">
        <v>0.98160999999999998</v>
      </c>
      <c r="AX47" s="7">
        <v>0.86858999999999997</v>
      </c>
      <c r="AY47" s="7">
        <v>1.23166</v>
      </c>
      <c r="AZ47" s="7">
        <v>1.1151600000000002</v>
      </c>
      <c r="BA47" s="7">
        <v>0.74029999999999996</v>
      </c>
      <c r="BB47" s="7">
        <v>0.88453999999999988</v>
      </c>
      <c r="BC47" s="7">
        <v>0.92134000000000005</v>
      </c>
      <c r="BD47" s="7">
        <v>0.88453999999999988</v>
      </c>
      <c r="BE47" s="7">
        <v>0.92134000000000005</v>
      </c>
      <c r="BF47" s="7">
        <v>0.91915999999999998</v>
      </c>
      <c r="BG47" s="7">
        <v>-5.4162524194032696E-2</v>
      </c>
      <c r="BH47" s="7">
        <f>LN(AG47)-BG47</f>
        <v>13.941970301602703</v>
      </c>
      <c r="BI47" s="7">
        <f>LN(AR47/$BF47)</f>
        <v>-6.2972569017455621E-3</v>
      </c>
      <c r="BJ47" s="7">
        <f>LN(AS47/$BF47)</f>
        <v>-2.9792303542367431E-2</v>
      </c>
      <c r="BK47" s="7">
        <f>LN(AT47/$BF47)</f>
        <v>5.0252128514378637E-2</v>
      </c>
      <c r="BL47" s="7">
        <f>LN(AU47/$BF47)</f>
        <v>-9.4126103693753654E-2</v>
      </c>
      <c r="BM47" s="7">
        <f>LN(AV47/$BF47)</f>
        <v>6.066813886424529E-2</v>
      </c>
      <c r="BN47" s="7">
        <f>LN(AW47/$BF47)</f>
        <v>6.5733871307137259E-2</v>
      </c>
      <c r="BO47" s="7">
        <f>LN(AX47/$BF47)</f>
        <v>-5.6589002231471522E-2</v>
      </c>
      <c r="BP47" s="7">
        <f>LN(AY47/$BF47)</f>
        <v>0.29265792249291628</v>
      </c>
      <c r="BQ47" s="7">
        <f>LN(AZ47/$BF47)</f>
        <v>0.19329296187051281</v>
      </c>
      <c r="BR47" s="7">
        <f>LN(BA47/$BF47)</f>
        <v>-0.216404700037683</v>
      </c>
      <c r="BS47" s="7">
        <f>LN(BB47/$BF47)</f>
        <v>-3.8392473619443493E-2</v>
      </c>
      <c r="BT47" s="7">
        <f>LN(BC47/$BF47)</f>
        <v>2.3689225965509357E-3</v>
      </c>
      <c r="BU47" s="7">
        <f>LN(BD47/$BF47)</f>
        <v>-3.8392473619443493E-2</v>
      </c>
      <c r="BV47" s="7">
        <f t="shared" si="22"/>
        <v>2.3689225965509357E-3</v>
      </c>
    </row>
    <row r="48" spans="1:74" x14ac:dyDescent="0.2">
      <c r="A48" s="4">
        <f t="shared" si="15"/>
        <v>0.12848393628525392</v>
      </c>
      <c r="B48" s="4">
        <f t="shared" si="1"/>
        <v>3.4046019818095866E-2</v>
      </c>
      <c r="C48" s="4">
        <f t="shared" si="2"/>
        <v>4.7333972576804488E-2</v>
      </c>
      <c r="D48" s="4">
        <f t="shared" si="3"/>
        <v>7.497702218598315E-2</v>
      </c>
      <c r="E48" s="4">
        <f t="shared" si="4"/>
        <v>0.16596782561007942</v>
      </c>
      <c r="F48" s="4">
        <f t="shared" si="5"/>
        <v>5.40381956604526E-2</v>
      </c>
      <c r="G48" s="4">
        <f t="shared" si="6"/>
        <v>3.8236737489457828E-2</v>
      </c>
      <c r="H48" s="4">
        <f t="shared" si="7"/>
        <v>0.11885513822983622</v>
      </c>
      <c r="I48" s="4">
        <f t="shared" si="8"/>
        <v>2.0469709733815129E-2</v>
      </c>
      <c r="J48" s="4">
        <f t="shared" si="9"/>
        <v>3.2742884142973903E-2</v>
      </c>
      <c r="K48" s="4">
        <f t="shared" si="10"/>
        <v>9.5524880391349321E-2</v>
      </c>
      <c r="L48" s="4">
        <f t="shared" si="11"/>
        <v>7.1384328676300374E-3</v>
      </c>
      <c r="M48" s="4">
        <f t="shared" si="12"/>
        <v>6.5169102891888875E-2</v>
      </c>
      <c r="N48" s="4">
        <f t="shared" si="13"/>
        <v>0.11701614211637919</v>
      </c>
      <c r="O48" s="5">
        <v>2005</v>
      </c>
      <c r="P48" s="6">
        <v>122819.235</v>
      </c>
      <c r="Q48" s="6">
        <v>32544.972000000002</v>
      </c>
      <c r="R48" s="6">
        <v>45247.074999999997</v>
      </c>
      <c r="S48" s="6">
        <v>71671.376000000004</v>
      </c>
      <c r="T48" s="6">
        <v>158650.505</v>
      </c>
      <c r="U48" s="6">
        <v>51655.716999999997</v>
      </c>
      <c r="V48" s="6">
        <v>36550.925999999999</v>
      </c>
      <c r="W48" s="6">
        <v>113614.959</v>
      </c>
      <c r="X48" s="6">
        <v>19567.224999999999</v>
      </c>
      <c r="Y48" s="6">
        <v>31299.29</v>
      </c>
      <c r="Z48" s="6">
        <v>91313.304000000004</v>
      </c>
      <c r="AA48" s="6">
        <v>6823.7079999999996</v>
      </c>
      <c r="AB48" s="6">
        <v>62295.875999999997</v>
      </c>
      <c r="AC48" s="6">
        <v>111857.042</v>
      </c>
      <c r="AD48" s="6">
        <v>955911.21000000008</v>
      </c>
      <c r="AE48" s="6">
        <v>307150.81099999999</v>
      </c>
      <c r="AF48" s="6">
        <f t="shared" si="16"/>
        <v>648760.39900000009</v>
      </c>
      <c r="AG48" s="6">
        <v>1105656.1000000001</v>
      </c>
      <c r="AH48" s="6">
        <f t="shared" si="17"/>
        <v>456895.701</v>
      </c>
      <c r="AI48" s="7">
        <v>0.93584000000000001</v>
      </c>
      <c r="AJ48" s="6">
        <v>61181.498500000002</v>
      </c>
      <c r="AK48" s="4">
        <f t="shared" si="18"/>
        <v>0.32131730205360803</v>
      </c>
      <c r="AL48" s="4">
        <f t="shared" si="19"/>
        <v>0.67868269794639191</v>
      </c>
      <c r="AM48" s="6">
        <f t="shared" si="20"/>
        <v>1021447.2666267739</v>
      </c>
      <c r="AN48" s="6">
        <f t="shared" si="23"/>
        <v>328208.67990254745</v>
      </c>
      <c r="AO48" s="6">
        <f t="shared" si="24"/>
        <v>693238.58672422648</v>
      </c>
      <c r="AP48" s="6">
        <f t="shared" si="25"/>
        <v>1181458.4758078305</v>
      </c>
      <c r="AQ48" s="6">
        <f t="shared" si="26"/>
        <v>488219.88908360404</v>
      </c>
      <c r="AR48" s="7">
        <v>0.91552000000000011</v>
      </c>
      <c r="AS48" s="7">
        <v>0.89232</v>
      </c>
      <c r="AT48" s="7">
        <v>0.97016999999999998</v>
      </c>
      <c r="AU48" s="7">
        <v>0.87528000000000006</v>
      </c>
      <c r="AV48" s="7">
        <v>0.98132000000000008</v>
      </c>
      <c r="AW48" s="7">
        <v>0.98959000000000008</v>
      </c>
      <c r="AX48" s="7">
        <v>0.90490999999999999</v>
      </c>
      <c r="AY48" s="7">
        <v>1.21282</v>
      </c>
      <c r="AZ48" s="7">
        <v>1.0907800000000001</v>
      </c>
      <c r="BA48" s="7">
        <v>0.77516999999999991</v>
      </c>
      <c r="BB48" s="7">
        <v>0.90516000000000008</v>
      </c>
      <c r="BC48" s="7">
        <v>0.93179000000000001</v>
      </c>
      <c r="BD48" s="7">
        <v>0.90516000000000008</v>
      </c>
      <c r="BE48" s="7">
        <v>0.93179000000000001</v>
      </c>
      <c r="BF48" s="7">
        <v>0.93584000000000001</v>
      </c>
      <c r="BG48" s="7">
        <v>-4.2566748674418058E-2</v>
      </c>
      <c r="BH48" s="7">
        <f>LN(AG48)-BG48</f>
        <v>13.958516221061371</v>
      </c>
      <c r="BI48" s="7">
        <f>LN(AR48/$BF48)</f>
        <v>-2.1952311832970105E-2</v>
      </c>
      <c r="BJ48" s="7">
        <f>LN(AS48/$BF48)</f>
        <v>-4.7619709053472105E-2</v>
      </c>
      <c r="BK48" s="7">
        <f>LN(AT48/$BF48)</f>
        <v>3.602679217882937E-2</v>
      </c>
      <c r="BL48" s="7">
        <f>LN(AU48/$BF48)</f>
        <v>-6.6900686526181072E-2</v>
      </c>
      <c r="BM48" s="7">
        <f>LN(AV48/$BF48)</f>
        <v>4.7454082437116234E-2</v>
      </c>
      <c r="BN48" s="7">
        <f>LN(AW48/$BF48)</f>
        <v>5.584619423953887E-2</v>
      </c>
      <c r="BO48" s="7">
        <f>LN(AX48/$BF48)</f>
        <v>-3.3609030453833615E-2</v>
      </c>
      <c r="BP48" s="7">
        <f>LN(AY48/$BF48)</f>
        <v>0.25925898382259183</v>
      </c>
      <c r="BQ48" s="7">
        <f>LN(AZ48/$BF48)</f>
        <v>0.15320379394177658</v>
      </c>
      <c r="BR48" s="7">
        <f>LN(BA48/$BF48)</f>
        <v>-0.18836216155741414</v>
      </c>
      <c r="BS48" s="7">
        <f>LN(BB48/$BF48)</f>
        <v>-3.3332798041175726E-2</v>
      </c>
      <c r="BT48" s="7">
        <f>LN(BC48/$BF48)</f>
        <v>-4.3370542863270566E-3</v>
      </c>
      <c r="BU48" s="7">
        <f>LN(BD48/$BF48)</f>
        <v>-3.3332798041175726E-2</v>
      </c>
      <c r="BV48" s="7">
        <f t="shared" si="22"/>
        <v>-4.3370542863270566E-3</v>
      </c>
    </row>
    <row r="49" spans="1:74" x14ac:dyDescent="0.2">
      <c r="A49" s="4">
        <f t="shared" si="15"/>
        <v>0.12616636378695584</v>
      </c>
      <c r="B49" s="4">
        <f t="shared" si="1"/>
        <v>3.3093691133301552E-2</v>
      </c>
      <c r="C49" s="4">
        <f t="shared" si="2"/>
        <v>4.5949615390415227E-2</v>
      </c>
      <c r="D49" s="4">
        <f t="shared" si="3"/>
        <v>7.6109210071434896E-2</v>
      </c>
      <c r="E49" s="4">
        <f t="shared" si="4"/>
        <v>0.16720891862135878</v>
      </c>
      <c r="F49" s="4">
        <f t="shared" si="5"/>
        <v>5.3713925038529536E-2</v>
      </c>
      <c r="G49" s="4">
        <f t="shared" si="6"/>
        <v>3.8633752109764358E-2</v>
      </c>
      <c r="H49" s="4">
        <f t="shared" si="7"/>
        <v>0.11687575060561652</v>
      </c>
      <c r="I49" s="4">
        <f t="shared" si="8"/>
        <v>2.0866772039170273E-2</v>
      </c>
      <c r="J49" s="4">
        <f t="shared" si="9"/>
        <v>3.1649573321325612E-2</v>
      </c>
      <c r="K49" s="4">
        <f t="shared" si="10"/>
        <v>9.5242303781998647E-2</v>
      </c>
      <c r="L49" s="4">
        <f t="shared" si="11"/>
        <v>7.5946138665084571E-3</v>
      </c>
      <c r="M49" s="4">
        <f t="shared" si="12"/>
        <v>6.5461987135339045E-2</v>
      </c>
      <c r="N49" s="4">
        <f t="shared" si="13"/>
        <v>0.12143352309828107</v>
      </c>
      <c r="O49" s="5">
        <v>2006</v>
      </c>
      <c r="P49" s="6">
        <v>125968.75900000001</v>
      </c>
      <c r="Q49" s="6">
        <v>33041.858999999997</v>
      </c>
      <c r="R49" s="6">
        <v>45877.648000000001</v>
      </c>
      <c r="S49" s="6">
        <v>75990.005999999994</v>
      </c>
      <c r="T49" s="6">
        <v>166947.03200000001</v>
      </c>
      <c r="U49" s="6">
        <v>53629.796999999999</v>
      </c>
      <c r="V49" s="6">
        <v>38573.243000000002</v>
      </c>
      <c r="W49" s="6">
        <v>116692.697</v>
      </c>
      <c r="X49" s="6">
        <v>20834.09</v>
      </c>
      <c r="Y49" s="6">
        <v>31600.003000000001</v>
      </c>
      <c r="Z49" s="6">
        <v>95093.133000000002</v>
      </c>
      <c r="AA49" s="6">
        <v>7582.7190000000001</v>
      </c>
      <c r="AB49" s="6">
        <v>65359.459000000003</v>
      </c>
      <c r="AC49" s="6">
        <v>121243.33100000001</v>
      </c>
      <c r="AD49" s="6">
        <v>998433.77600000019</v>
      </c>
      <c r="AE49" s="6">
        <v>324753.73100000003</v>
      </c>
      <c r="AF49" s="6">
        <f t="shared" si="16"/>
        <v>673680.04500000016</v>
      </c>
      <c r="AG49" s="6">
        <v>1155893.5</v>
      </c>
      <c r="AH49" s="6">
        <f t="shared" si="17"/>
        <v>482213.45499999984</v>
      </c>
      <c r="AI49" s="7">
        <v>0.95565</v>
      </c>
      <c r="AJ49" s="6">
        <v>61597.485500000003</v>
      </c>
      <c r="AK49" s="4">
        <f t="shared" si="18"/>
        <v>0.32526316597686894</v>
      </c>
      <c r="AL49" s="4">
        <f t="shared" si="19"/>
        <v>0.67473683402313112</v>
      </c>
      <c r="AM49" s="6">
        <f t="shared" si="20"/>
        <v>1044769.2941976667</v>
      </c>
      <c r="AN49" s="6">
        <f t="shared" si="23"/>
        <v>339824.96834615187</v>
      </c>
      <c r="AO49" s="6">
        <f t="shared" si="24"/>
        <v>704944.32585151482</v>
      </c>
      <c r="AP49" s="6">
        <f t="shared" si="25"/>
        <v>1209536.4411656987</v>
      </c>
      <c r="AQ49" s="6">
        <f t="shared" si="26"/>
        <v>504592.11531418387</v>
      </c>
      <c r="AR49" s="7">
        <v>0.93220000000000003</v>
      </c>
      <c r="AS49" s="7">
        <v>0.89623999999999993</v>
      </c>
      <c r="AT49" s="7">
        <v>0.97206000000000004</v>
      </c>
      <c r="AU49" s="7">
        <v>0.91242000000000001</v>
      </c>
      <c r="AV49" s="7">
        <v>0.98801000000000005</v>
      </c>
      <c r="AW49" s="7">
        <v>0.99203999999999992</v>
      </c>
      <c r="AX49" s="7">
        <v>0.93052999999999997</v>
      </c>
      <c r="AY49" s="7">
        <v>1.13052</v>
      </c>
      <c r="AZ49" s="7">
        <v>1.0745199999999999</v>
      </c>
      <c r="BA49" s="7">
        <v>0.81552999999999998</v>
      </c>
      <c r="BB49" s="7">
        <v>0.92531999999999992</v>
      </c>
      <c r="BC49" s="7">
        <v>0.97948999999999997</v>
      </c>
      <c r="BD49" s="7">
        <v>0.92531999999999992</v>
      </c>
      <c r="BE49" s="7">
        <v>0.97948999999999997</v>
      </c>
      <c r="BF49" s="7">
        <v>0.95565</v>
      </c>
      <c r="BG49" s="7">
        <v>-3.1752082440640449E-2</v>
      </c>
      <c r="BH49" s="7">
        <f>LN(AG49)-BG49</f>
        <v>13.99213627838337</v>
      </c>
      <c r="BI49" s="7">
        <f>LN(AR49/$BF49)</f>
        <v>-2.4844353291966319E-2</v>
      </c>
      <c r="BJ49" s="7">
        <f>LN(AS49/$BF49)</f>
        <v>-6.418350298013914E-2</v>
      </c>
      <c r="BK49" s="7">
        <f>LN(AT49/$BF49)</f>
        <v>1.7025793719774938E-2</v>
      </c>
      <c r="BL49" s="7">
        <f>LN(AU49/$BF49)</f>
        <v>-4.6291326850184243E-2</v>
      </c>
      <c r="BM49" s="7">
        <f>LN(AV49/$BF49)</f>
        <v>3.330108192352934E-2</v>
      </c>
      <c r="BN49" s="7">
        <f>LN(AW49/$BF49)</f>
        <v>3.7371691821977693E-2</v>
      </c>
      <c r="BO49" s="7">
        <f>LN(AX49/$BF49)</f>
        <v>-2.6637420937232783E-2</v>
      </c>
      <c r="BP49" s="7">
        <f>LN(AY49/$BF49)</f>
        <v>0.16804124561796979</v>
      </c>
      <c r="BQ49" s="7">
        <f>LN(AZ49/$BF49)</f>
        <v>0.11723759198724824</v>
      </c>
      <c r="BR49" s="7">
        <f>LN(BA49/$BF49)</f>
        <v>-0.15855352859908489</v>
      </c>
      <c r="BS49" s="7">
        <f>LN(BB49/$BF49)</f>
        <v>-3.2252113597737386E-2</v>
      </c>
      <c r="BT49" s="7">
        <f>LN(BC49/$BF49)</f>
        <v>2.4640290811419156E-2</v>
      </c>
      <c r="BU49" s="7">
        <f>LN(BD49/$BF49)</f>
        <v>-3.2252113597737386E-2</v>
      </c>
      <c r="BV49" s="7">
        <f t="shared" si="22"/>
        <v>2.4640290811419156E-2</v>
      </c>
    </row>
    <row r="50" spans="1:74" x14ac:dyDescent="0.2">
      <c r="A50" s="4">
        <f t="shared" si="15"/>
        <v>0.12413956627372975</v>
      </c>
      <c r="B50" s="4">
        <f t="shared" si="1"/>
        <v>3.2058767015001488E-2</v>
      </c>
      <c r="C50" s="4">
        <f t="shared" si="2"/>
        <v>4.5117038468815707E-2</v>
      </c>
      <c r="D50" s="4">
        <f t="shared" si="3"/>
        <v>7.167797372541268E-2</v>
      </c>
      <c r="E50" s="4">
        <f t="shared" si="4"/>
        <v>0.16968184431173172</v>
      </c>
      <c r="F50" s="4">
        <f t="shared" si="5"/>
        <v>5.4087039483243025E-2</v>
      </c>
      <c r="G50" s="4">
        <f t="shared" si="6"/>
        <v>3.8531101014602373E-2</v>
      </c>
      <c r="H50" s="4">
        <f t="shared" si="7"/>
        <v>0.11733827634195584</v>
      </c>
      <c r="I50" s="4">
        <f t="shared" si="8"/>
        <v>2.1018204060570981E-2</v>
      </c>
      <c r="J50" s="4">
        <f t="shared" si="9"/>
        <v>3.1530701617407071E-2</v>
      </c>
      <c r="K50" s="4">
        <f t="shared" si="10"/>
        <v>9.4056140009772082E-2</v>
      </c>
      <c r="L50" s="4">
        <f t="shared" si="11"/>
        <v>7.7641071586983168E-3</v>
      </c>
      <c r="M50" s="4">
        <f t="shared" si="12"/>
        <v>6.5599627050486803E-2</v>
      </c>
      <c r="N50" s="4">
        <f t="shared" si="13"/>
        <v>0.12739961346857204</v>
      </c>
      <c r="O50" s="5">
        <v>2007</v>
      </c>
      <c r="P50" s="6">
        <v>129695.67600000001</v>
      </c>
      <c r="Q50" s="6">
        <v>33493.620000000003</v>
      </c>
      <c r="R50" s="6">
        <v>47136.34</v>
      </c>
      <c r="S50" s="6">
        <v>74886.062000000005</v>
      </c>
      <c r="T50" s="6">
        <v>177276.288</v>
      </c>
      <c r="U50" s="6">
        <v>56507.811000000002</v>
      </c>
      <c r="V50" s="6">
        <v>40255.635999999999</v>
      </c>
      <c r="W50" s="6">
        <v>122589.981</v>
      </c>
      <c r="X50" s="6">
        <v>21958.915000000001</v>
      </c>
      <c r="Y50" s="6">
        <v>32941.919999999998</v>
      </c>
      <c r="Z50" s="6">
        <v>98265.807000000001</v>
      </c>
      <c r="AA50" s="6">
        <v>8111.6049999999996</v>
      </c>
      <c r="AB50" s="6">
        <v>68535.667000000001</v>
      </c>
      <c r="AC50" s="6">
        <v>133101.633</v>
      </c>
      <c r="AD50" s="6">
        <v>1044756.9610000001</v>
      </c>
      <c r="AE50" s="6">
        <v>342584.20799999998</v>
      </c>
      <c r="AF50" s="6">
        <f t="shared" si="16"/>
        <v>702172.75300000014</v>
      </c>
      <c r="AG50" s="6">
        <v>1216268.2</v>
      </c>
      <c r="AH50" s="6">
        <f t="shared" si="17"/>
        <v>514095.44699999981</v>
      </c>
      <c r="AI50" s="7">
        <v>0.97594999999999998</v>
      </c>
      <c r="AJ50" s="6">
        <v>61965.052000000003</v>
      </c>
      <c r="AK50" s="4">
        <f t="shared" si="18"/>
        <v>0.32790804061462475</v>
      </c>
      <c r="AL50" s="4">
        <f t="shared" si="19"/>
        <v>0.67209195938537525</v>
      </c>
      <c r="AM50" s="6">
        <f t="shared" si="20"/>
        <v>1070502.5472616428</v>
      </c>
      <c r="AN50" s="6">
        <f t="shared" si="23"/>
        <v>351026.39274553</v>
      </c>
      <c r="AO50" s="6">
        <f t="shared" si="24"/>
        <v>719476.15451611264</v>
      </c>
      <c r="AP50" s="6">
        <f t="shared" si="25"/>
        <v>1246240.2787028023</v>
      </c>
      <c r="AQ50" s="6">
        <f t="shared" si="26"/>
        <v>526764.12418668973</v>
      </c>
      <c r="AR50" s="7">
        <v>0.94506000000000001</v>
      </c>
      <c r="AS50" s="7">
        <v>0.91276000000000002</v>
      </c>
      <c r="AT50" s="7">
        <v>0.97837000000000007</v>
      </c>
      <c r="AU50" s="7">
        <v>0.94172</v>
      </c>
      <c r="AV50" s="7">
        <v>0.99733000000000005</v>
      </c>
      <c r="AW50" s="7">
        <v>0.99748000000000003</v>
      </c>
      <c r="AX50" s="7">
        <v>0.95028999999999997</v>
      </c>
      <c r="AY50" s="7">
        <v>1.103</v>
      </c>
      <c r="AZ50" s="7">
        <v>1.05044</v>
      </c>
      <c r="BA50" s="7">
        <v>0.84849999999999992</v>
      </c>
      <c r="BB50" s="7">
        <v>0.95090999999999992</v>
      </c>
      <c r="BC50" s="7">
        <v>1.0441800000000001</v>
      </c>
      <c r="BD50" s="7">
        <v>0.95090999999999992</v>
      </c>
      <c r="BE50" s="7">
        <v>1.0441800000000001</v>
      </c>
      <c r="BF50" s="7">
        <v>0.97594999999999998</v>
      </c>
      <c r="BG50" s="7">
        <v>-1.2622205364565757E-2</v>
      </c>
      <c r="BH50" s="7">
        <f>LN(AG50)-BG50</f>
        <v>14.023920081763736</v>
      </c>
      <c r="BI50" s="7">
        <f>LN(AR50/$BF50)</f>
        <v>-3.216293805092061E-2</v>
      </c>
      <c r="BJ50" s="7">
        <f>LN(AS50/$BF50)</f>
        <v>-6.6938379214396368E-2</v>
      </c>
      <c r="BK50" s="7">
        <f>LN(AT50/$BF50)</f>
        <v>2.4765660044393993E-3</v>
      </c>
      <c r="BL50" s="7">
        <f>LN(AU50/$BF50)</f>
        <v>-3.57033651158703E-2</v>
      </c>
      <c r="BM50" s="7">
        <f>LN(AV50/$BF50)</f>
        <v>2.1670352582063911E-2</v>
      </c>
      <c r="BN50" s="7">
        <f>LN(AW50/$BF50)</f>
        <v>2.1820742845079118E-2</v>
      </c>
      <c r="BO50" s="7">
        <f>LN(AX50/$BF50)</f>
        <v>-2.6644154423456363E-2</v>
      </c>
      <c r="BP50" s="7">
        <f>LN(AY50/$BF50)</f>
        <v>0.12237766366088279</v>
      </c>
      <c r="BQ50" s="7">
        <f>LN(AZ50/$BF50)</f>
        <v>7.3553047402064226E-2</v>
      </c>
      <c r="BR50" s="7">
        <f>LN(BA50/$BF50)</f>
        <v>-0.13994127091833872</v>
      </c>
      <c r="BS50" s="7">
        <f>LN(BB50/$BF50)</f>
        <v>-2.5991934749588844E-2</v>
      </c>
      <c r="BT50" s="7">
        <f>LN(BC50/$BF50)</f>
        <v>6.7575811781518044E-2</v>
      </c>
      <c r="BU50" s="7">
        <f>LN(BD50/$BF50)</f>
        <v>-2.5991934749588844E-2</v>
      </c>
      <c r="BV50" s="7">
        <f t="shared" si="22"/>
        <v>6.7575811781518044E-2</v>
      </c>
    </row>
    <row r="51" spans="1:74" x14ac:dyDescent="0.2">
      <c r="A51" s="4">
        <f t="shared" si="15"/>
        <v>0.12614472730501275</v>
      </c>
      <c r="B51" s="4">
        <f t="shared" si="1"/>
        <v>3.1403043042816235E-2</v>
      </c>
      <c r="C51" s="4">
        <f t="shared" si="2"/>
        <v>4.3082181153977023E-2</v>
      </c>
      <c r="D51" s="4">
        <f t="shared" si="3"/>
        <v>7.9252635898527907E-2</v>
      </c>
      <c r="E51" s="4">
        <f t="shared" si="4"/>
        <v>0.16537885770238256</v>
      </c>
      <c r="F51" s="4">
        <f t="shared" si="5"/>
        <v>5.1777000033423878E-2</v>
      </c>
      <c r="G51" s="4">
        <f t="shared" si="6"/>
        <v>3.9295720344700746E-2</v>
      </c>
      <c r="H51" s="4">
        <f t="shared" si="7"/>
        <v>0.11621308930599358</v>
      </c>
      <c r="I51" s="4">
        <f t="shared" si="8"/>
        <v>2.1847155892212363E-2</v>
      </c>
      <c r="J51" s="4">
        <f t="shared" si="9"/>
        <v>3.158619302500771E-2</v>
      </c>
      <c r="K51" s="4">
        <f t="shared" si="10"/>
        <v>9.1056540345840639E-2</v>
      </c>
      <c r="L51" s="4">
        <f t="shared" si="11"/>
        <v>8.176499017935164E-3</v>
      </c>
      <c r="M51" s="4">
        <f t="shared" si="12"/>
        <v>6.4332933444253171E-2</v>
      </c>
      <c r="N51" s="4">
        <f t="shared" si="13"/>
        <v>0.13045342348791622</v>
      </c>
      <c r="O51" s="5">
        <v>2008</v>
      </c>
      <c r="P51" s="6">
        <v>135889.87700000001</v>
      </c>
      <c r="Q51" s="6">
        <v>33829.044999999998</v>
      </c>
      <c r="R51" s="6">
        <v>46410.44</v>
      </c>
      <c r="S51" s="6">
        <v>85375.197</v>
      </c>
      <c r="T51" s="6">
        <v>178154.99</v>
      </c>
      <c r="U51" s="6">
        <v>55776.966</v>
      </c>
      <c r="V51" s="6">
        <v>42331.461000000003</v>
      </c>
      <c r="W51" s="6">
        <v>125190.98299999999</v>
      </c>
      <c r="X51" s="6">
        <v>23534.93</v>
      </c>
      <c r="Y51" s="6">
        <v>34026.343999999997</v>
      </c>
      <c r="Z51" s="6">
        <v>98090.997000000003</v>
      </c>
      <c r="AA51" s="6">
        <v>8808.1640000000007</v>
      </c>
      <c r="AB51" s="6">
        <v>69302.892000000007</v>
      </c>
      <c r="AC51" s="6">
        <v>140531.43599999999</v>
      </c>
      <c r="AD51" s="6">
        <v>1077253.7220000001</v>
      </c>
      <c r="AE51" s="6">
        <v>359770.29</v>
      </c>
      <c r="AF51" s="6">
        <f t="shared" si="16"/>
        <v>717483.43200000003</v>
      </c>
      <c r="AG51" s="6">
        <v>1254095.8999999999</v>
      </c>
      <c r="AH51" s="6">
        <f t="shared" si="17"/>
        <v>536612.46799999988</v>
      </c>
      <c r="AI51" s="7">
        <v>1.00326</v>
      </c>
      <c r="AJ51" s="6">
        <v>62300.287499999999</v>
      </c>
      <c r="AK51" s="4">
        <f t="shared" si="18"/>
        <v>0.33396987418345625</v>
      </c>
      <c r="AL51" s="4">
        <f t="shared" si="19"/>
        <v>0.66603012581654375</v>
      </c>
      <c r="AM51" s="6">
        <f t="shared" si="20"/>
        <v>1073753.2862867054</v>
      </c>
      <c r="AN51" s="6">
        <f t="shared" si="23"/>
        <v>358601.24992524367</v>
      </c>
      <c r="AO51" s="6">
        <f t="shared" si="24"/>
        <v>715152.03636146162</v>
      </c>
      <c r="AP51" s="6">
        <f t="shared" si="25"/>
        <v>1250020.832087395</v>
      </c>
      <c r="AQ51" s="6">
        <f t="shared" si="26"/>
        <v>534868.79572593328</v>
      </c>
      <c r="AR51" s="7">
        <v>0.99007000000000001</v>
      </c>
      <c r="AS51" s="7">
        <v>0.94495999999999991</v>
      </c>
      <c r="AT51" s="7">
        <v>0.98480999999999996</v>
      </c>
      <c r="AU51" s="7">
        <v>0.97203000000000006</v>
      </c>
      <c r="AV51" s="7">
        <v>0.98821999999999999</v>
      </c>
      <c r="AW51" s="7">
        <v>1.0026000000000002</v>
      </c>
      <c r="AX51" s="7">
        <v>0.99770999999999999</v>
      </c>
      <c r="AY51" s="7">
        <v>1.0929600000000002</v>
      </c>
      <c r="AZ51" s="7">
        <v>1.03321</v>
      </c>
      <c r="BA51" s="7">
        <v>0.90049999999999997</v>
      </c>
      <c r="BB51" s="7">
        <v>0.97935000000000005</v>
      </c>
      <c r="BC51" s="7">
        <v>1.0918099999999999</v>
      </c>
      <c r="BD51" s="7">
        <v>0.97935000000000005</v>
      </c>
      <c r="BE51" s="7">
        <v>1.0918099999999999</v>
      </c>
      <c r="BF51" s="7">
        <v>1.00326</v>
      </c>
      <c r="BG51" s="7">
        <v>8.8081417302732605E-3</v>
      </c>
      <c r="BH51" s="7">
        <f>LN(AG51)-BG51</f>
        <v>14.033117330799751</v>
      </c>
      <c r="BI51" s="7">
        <f>LN(AR51/$BF51)</f>
        <v>-1.3234329002917102E-2</v>
      </c>
      <c r="BJ51" s="7">
        <f>LN(AS51/$BF51)</f>
        <v>-5.9867378147074941E-2</v>
      </c>
      <c r="BK51" s="7">
        <f>LN(AT51/$BF51)</f>
        <v>-1.8561247537883945E-2</v>
      </c>
      <c r="BL51" s="7">
        <f>LN(AU51/$BF51)</f>
        <v>-3.1623308520952298E-2</v>
      </c>
      <c r="BM51" s="7">
        <f>LN(AV51/$BF51)</f>
        <v>-1.5104631677732195E-2</v>
      </c>
      <c r="BN51" s="7">
        <f>LN(AW51/$BF51)</f>
        <v>-6.5807187322952415E-4</v>
      </c>
      <c r="BO51" s="7">
        <f>LN(AX51/$BF51)</f>
        <v>-5.5473237803798014E-3</v>
      </c>
      <c r="BP51" s="7">
        <f>LN(AY51/$BF51)</f>
        <v>8.5634914280906527E-2</v>
      </c>
      <c r="BQ51" s="7">
        <f>LN(AZ51/$BF51)</f>
        <v>2.9415763140429898E-2</v>
      </c>
      <c r="BR51" s="7">
        <f>LN(BA51/$BF51)</f>
        <v>-0.10805981208662199</v>
      </c>
      <c r="BS51" s="7">
        <f>LN(BB51/$BF51)</f>
        <v>-2.4120890401880552E-2</v>
      </c>
      <c r="BT51" s="7">
        <f>LN(BC51/$BF51)</f>
        <v>8.4582171789743602E-2</v>
      </c>
      <c r="BU51" s="7">
        <f>LN(BD51/$BF51)</f>
        <v>-2.4120890401880552E-2</v>
      </c>
      <c r="BV51" s="7">
        <f t="shared" si="22"/>
        <v>8.4582171789743602E-2</v>
      </c>
    </row>
    <row r="52" spans="1:74" x14ac:dyDescent="0.2">
      <c r="A52" s="4">
        <f t="shared" si="15"/>
        <v>0.12857148433783458</v>
      </c>
      <c r="B52" s="4">
        <f t="shared" si="1"/>
        <v>3.2908772424324113E-2</v>
      </c>
      <c r="C52" s="4">
        <f t="shared" si="2"/>
        <v>4.2461672888554153E-2</v>
      </c>
      <c r="D52" s="4">
        <f t="shared" si="3"/>
        <v>7.6194384053615269E-2</v>
      </c>
      <c r="E52" s="4">
        <f t="shared" si="4"/>
        <v>0.17560634787282028</v>
      </c>
      <c r="F52" s="4">
        <f t="shared" si="5"/>
        <v>5.1548778549306069E-2</v>
      </c>
      <c r="G52" s="4">
        <f t="shared" si="6"/>
        <v>4.1085226829200565E-2</v>
      </c>
      <c r="H52" s="4">
        <f t="shared" si="7"/>
        <v>0.1124664416333976</v>
      </c>
      <c r="I52" s="4">
        <f t="shared" si="8"/>
        <v>2.2455263375266519E-2</v>
      </c>
      <c r="J52" s="4">
        <f t="shared" si="9"/>
        <v>3.2409556464607525E-2</v>
      </c>
      <c r="K52" s="4">
        <f t="shared" si="10"/>
        <v>9.0889018863092516E-2</v>
      </c>
      <c r="L52" s="4">
        <f t="shared" si="11"/>
        <v>8.4851068363134101E-3</v>
      </c>
      <c r="M52" s="4">
        <f t="shared" si="12"/>
        <v>6.426191877915105E-2</v>
      </c>
      <c r="N52" s="4">
        <f t="shared" si="13"/>
        <v>0.12065602709251654</v>
      </c>
      <c r="O52" s="5">
        <v>2009</v>
      </c>
      <c r="P52" s="6">
        <v>136257.20699999999</v>
      </c>
      <c r="Q52" s="6">
        <v>34875.987000000001</v>
      </c>
      <c r="R52" s="6">
        <v>44999.938999999998</v>
      </c>
      <c r="S52" s="6">
        <v>80749.117999999988</v>
      </c>
      <c r="T52" s="6">
        <v>186103.71200000003</v>
      </c>
      <c r="U52" s="6">
        <v>54630.252</v>
      </c>
      <c r="V52" s="6">
        <v>43541.212</v>
      </c>
      <c r="W52" s="6">
        <v>119189.44</v>
      </c>
      <c r="X52" s="6">
        <v>23797.59</v>
      </c>
      <c r="Y52" s="6">
        <v>34346.928999999996</v>
      </c>
      <c r="Z52" s="6">
        <v>96322.165999999997</v>
      </c>
      <c r="AA52" s="6">
        <v>8992.3279999999995</v>
      </c>
      <c r="AB52" s="6">
        <v>68103.356</v>
      </c>
      <c r="AC52" s="6">
        <v>127868.58100000001</v>
      </c>
      <c r="AD52" s="6">
        <v>1059777.8169999998</v>
      </c>
      <c r="AE52" s="6">
        <v>357815.49400000001</v>
      </c>
      <c r="AF52" s="6">
        <f t="shared" si="16"/>
        <v>701962.32299999986</v>
      </c>
      <c r="AG52" s="6">
        <v>1255298.209</v>
      </c>
      <c r="AH52" s="6">
        <f t="shared" si="17"/>
        <v>553335.88600000017</v>
      </c>
      <c r="AI52" s="7">
        <v>0.98829999999999996</v>
      </c>
      <c r="AJ52" s="6">
        <v>62615.472000000002</v>
      </c>
      <c r="AK52" s="4">
        <f t="shared" si="18"/>
        <v>0.3376325568060084</v>
      </c>
      <c r="AL52" s="4">
        <f t="shared" si="19"/>
        <v>0.66236744319399166</v>
      </c>
      <c r="AM52" s="6">
        <f t="shared" si="20"/>
        <v>1072324.0078923402</v>
      </c>
      <c r="AN52" s="6">
        <f t="shared" si="23"/>
        <v>362051.49650915718</v>
      </c>
      <c r="AO52" s="6">
        <f t="shared" si="24"/>
        <v>710272.51138318318</v>
      </c>
      <c r="AP52" s="6">
        <f t="shared" si="25"/>
        <v>1270159.0701204089</v>
      </c>
      <c r="AQ52" s="6">
        <f t="shared" si="26"/>
        <v>559886.55873722571</v>
      </c>
      <c r="AR52" s="7">
        <v>0.98950999999999989</v>
      </c>
      <c r="AS52" s="7">
        <v>0.96599999999999997</v>
      </c>
      <c r="AT52" s="7">
        <v>0.99485000000000001</v>
      </c>
      <c r="AU52" s="7">
        <v>0.98019000000000001</v>
      </c>
      <c r="AV52" s="7">
        <v>0.99998000000000009</v>
      </c>
      <c r="AW52" s="7">
        <v>1.0006699999999999</v>
      </c>
      <c r="AX52" s="7">
        <v>0.96715000000000007</v>
      </c>
      <c r="AY52" s="7">
        <v>1.0541200000000002</v>
      </c>
      <c r="AZ52" s="7">
        <v>1.0136100000000001</v>
      </c>
      <c r="BA52" s="7">
        <v>0.97040999999999999</v>
      </c>
      <c r="BB52" s="7">
        <v>0.99444999999999995</v>
      </c>
      <c r="BC52" s="7">
        <v>0.98448999999999998</v>
      </c>
      <c r="BD52" s="7">
        <v>0.99444999999999995</v>
      </c>
      <c r="BE52" s="7">
        <v>0.98448999999999998</v>
      </c>
      <c r="BF52" s="7">
        <v>0.98829999999999996</v>
      </c>
      <c r="BG52" s="7">
        <v>-3.2036962671511057E-3</v>
      </c>
      <c r="BH52" s="7">
        <f>LN(AG52)-BG52</f>
        <v>14.046087415321855</v>
      </c>
      <c r="BI52" s="7">
        <f>LN(AR52/$BF52)</f>
        <v>1.223575723614772E-3</v>
      </c>
      <c r="BJ52" s="7">
        <f>LN(AS52/$BF52)</f>
        <v>-2.282246116962016E-2</v>
      </c>
      <c r="BK52" s="7">
        <f>LN(AT52/$BF52)</f>
        <v>6.6056766431188182E-3</v>
      </c>
      <c r="BL52" s="7">
        <f>LN(AU52/$BF52)</f>
        <v>-8.239864958323689E-3</v>
      </c>
      <c r="BM52" s="7">
        <f>LN(AV52/$BF52)</f>
        <v>1.1748983399996304E-2</v>
      </c>
      <c r="BN52" s="7">
        <f>LN(AW52/$BF52)</f>
        <v>1.2438759250202859E-2</v>
      </c>
      <c r="BO52" s="7">
        <f>LN(AX52/$BF52)</f>
        <v>-2.1632693034031342E-2</v>
      </c>
      <c r="BP52" s="7">
        <f>LN(AY52/$BF52)</f>
        <v>6.44752792309332E-2</v>
      </c>
      <c r="BQ52" s="7">
        <f>LN(AZ52/$BF52)</f>
        <v>2.5287199400907182E-2</v>
      </c>
      <c r="BR52" s="7">
        <f>LN(BA52/$BF52)</f>
        <v>-1.8267632776540123E-2</v>
      </c>
      <c r="BS52" s="7">
        <f>LN(BB52/$BF52)</f>
        <v>6.2035251271172513E-3</v>
      </c>
      <c r="BT52" s="7">
        <f>LN(BC52/$BF52)</f>
        <v>-3.8625547948701456E-3</v>
      </c>
      <c r="BU52" s="7">
        <f>LN(BD52/$BF52)</f>
        <v>6.2035251271172513E-3</v>
      </c>
      <c r="BV52" s="7">
        <f t="shared" si="22"/>
        <v>-3.8625547948701456E-3</v>
      </c>
    </row>
    <row r="53" spans="1:74" x14ac:dyDescent="0.2">
      <c r="A53" s="4">
        <f t="shared" si="15"/>
        <v>0.1291499045250239</v>
      </c>
      <c r="B53" s="4">
        <f t="shared" si="1"/>
        <v>3.3531458147361852E-2</v>
      </c>
      <c r="C53" s="4">
        <f t="shared" si="2"/>
        <v>4.1397684633804027E-2</v>
      </c>
      <c r="D53" s="4">
        <f t="shared" si="3"/>
        <v>8.2272892838721773E-2</v>
      </c>
      <c r="E53" s="4">
        <f t="shared" si="4"/>
        <v>0.17197843120782641</v>
      </c>
      <c r="F53" s="4">
        <f t="shared" si="5"/>
        <v>5.1463191529797787E-2</v>
      </c>
      <c r="G53" s="4">
        <f t="shared" si="6"/>
        <v>4.0977843146264542E-2</v>
      </c>
      <c r="H53" s="4">
        <f t="shared" si="7"/>
        <v>0.11269390323288002</v>
      </c>
      <c r="I53" s="4">
        <f t="shared" si="8"/>
        <v>2.2098994010665566E-2</v>
      </c>
      <c r="J53" s="4">
        <f t="shared" si="9"/>
        <v>3.1602315328533449E-2</v>
      </c>
      <c r="K53" s="4">
        <f t="shared" si="10"/>
        <v>8.9529380690484786E-2</v>
      </c>
      <c r="L53" s="4">
        <f t="shared" si="11"/>
        <v>8.6353988067029534E-3</v>
      </c>
      <c r="M53" s="4">
        <f t="shared" si="12"/>
        <v>6.3971828910479422E-2</v>
      </c>
      <c r="N53" s="4">
        <f t="shared" si="13"/>
        <v>0.1206967729914534</v>
      </c>
      <c r="O53" s="5">
        <v>2010</v>
      </c>
      <c r="P53" s="6">
        <v>140594.603</v>
      </c>
      <c r="Q53" s="6">
        <v>36502.868999999999</v>
      </c>
      <c r="R53" s="6">
        <v>45066.165999999997</v>
      </c>
      <c r="S53" s="6">
        <v>89563.555999999997</v>
      </c>
      <c r="T53" s="6">
        <v>187218.40600000002</v>
      </c>
      <c r="U53" s="6">
        <v>56023.633999999998</v>
      </c>
      <c r="V53" s="6">
        <v>44609.120000000003</v>
      </c>
      <c r="W53" s="6">
        <v>122680.34299999999</v>
      </c>
      <c r="X53" s="6">
        <v>24057.31</v>
      </c>
      <c r="Y53" s="6">
        <v>34402.773999999998</v>
      </c>
      <c r="Z53" s="6">
        <v>97463.081999999995</v>
      </c>
      <c r="AA53" s="6">
        <v>9400.6299999999992</v>
      </c>
      <c r="AB53" s="6">
        <v>69640.732000000004</v>
      </c>
      <c r="AC53" s="6">
        <v>131392.39199999999</v>
      </c>
      <c r="AD53" s="6">
        <v>1088615.6170000001</v>
      </c>
      <c r="AE53" s="6">
        <v>365572.63299999997</v>
      </c>
      <c r="AF53" s="6">
        <f t="shared" si="16"/>
        <v>723042.98400000017</v>
      </c>
      <c r="AG53" s="6">
        <v>1285390.2620000001</v>
      </c>
      <c r="AH53" s="6">
        <f t="shared" si="17"/>
        <v>562347.27799999993</v>
      </c>
      <c r="AI53" s="7">
        <v>1</v>
      </c>
      <c r="AJ53" s="6">
        <v>62917.789499999999</v>
      </c>
      <c r="AK53" s="4">
        <f t="shared" si="18"/>
        <v>0.33581424636130308</v>
      </c>
      <c r="AL53" s="4">
        <f t="shared" si="19"/>
        <v>0.66418575363869703</v>
      </c>
      <c r="AM53" s="6">
        <f t="shared" si="20"/>
        <v>1088615.6170000001</v>
      </c>
      <c r="AN53" s="6">
        <f t="shared" si="23"/>
        <v>365572.63299999997</v>
      </c>
      <c r="AO53" s="6">
        <f t="shared" si="24"/>
        <v>723042.98400000017</v>
      </c>
      <c r="AP53" s="6">
        <f t="shared" si="25"/>
        <v>1285390.2620000001</v>
      </c>
      <c r="AQ53" s="6">
        <f t="shared" si="26"/>
        <v>562347.27799999993</v>
      </c>
      <c r="AR53" s="7">
        <v>1</v>
      </c>
      <c r="AS53" s="7">
        <v>1</v>
      </c>
      <c r="AT53" s="7">
        <v>1</v>
      </c>
      <c r="AU53" s="7">
        <v>1</v>
      </c>
      <c r="AV53" s="7">
        <v>1</v>
      </c>
      <c r="AW53" s="7">
        <v>1</v>
      </c>
      <c r="AX53" s="7">
        <v>1</v>
      </c>
      <c r="AY53" s="7">
        <v>1</v>
      </c>
      <c r="AZ53" s="7">
        <v>1</v>
      </c>
      <c r="BA53" s="7">
        <v>1</v>
      </c>
      <c r="BB53" s="7">
        <v>1</v>
      </c>
      <c r="BC53" s="7">
        <v>1</v>
      </c>
      <c r="BD53" s="7">
        <v>1</v>
      </c>
      <c r="BE53" s="7">
        <v>1</v>
      </c>
      <c r="BF53" s="7">
        <v>1</v>
      </c>
      <c r="BG53" s="7">
        <v>0</v>
      </c>
      <c r="BH53" s="7">
        <f>LN(AG53)-BG53</f>
        <v>14.066572936038751</v>
      </c>
      <c r="BI53" s="7">
        <f>LN(AR53/$BF53)</f>
        <v>0</v>
      </c>
      <c r="BJ53" s="7">
        <f>LN(AS53/$BF53)</f>
        <v>0</v>
      </c>
      <c r="BK53" s="7">
        <f>LN(AT53/$BF53)</f>
        <v>0</v>
      </c>
      <c r="BL53" s="7">
        <f>LN(AU53/$BF53)</f>
        <v>0</v>
      </c>
      <c r="BM53" s="7">
        <f>LN(AV53/$BF53)</f>
        <v>0</v>
      </c>
      <c r="BN53" s="7">
        <f>LN(AW53/$BF53)</f>
        <v>0</v>
      </c>
      <c r="BO53" s="7">
        <f>LN(AX53/$BF53)</f>
        <v>0</v>
      </c>
      <c r="BP53" s="7">
        <f>LN(AY53/$BF53)</f>
        <v>0</v>
      </c>
      <c r="BQ53" s="7">
        <f>LN(AZ53/$BF53)</f>
        <v>0</v>
      </c>
      <c r="BR53" s="7">
        <f>LN(BA53/$BF53)</f>
        <v>0</v>
      </c>
      <c r="BS53" s="7">
        <f>LN(BB53/$BF53)</f>
        <v>0</v>
      </c>
      <c r="BT53" s="7">
        <f>LN(BC53/$BF53)</f>
        <v>0</v>
      </c>
      <c r="BU53" s="7">
        <f>LN(BD53/$BF53)</f>
        <v>0</v>
      </c>
      <c r="BV53" s="7">
        <f t="shared" si="22"/>
        <v>0</v>
      </c>
    </row>
    <row r="54" spans="1:74" x14ac:dyDescent="0.2">
      <c r="A54" s="4">
        <f t="shared" si="15"/>
        <v>0.12971756964031775</v>
      </c>
      <c r="B54" s="4">
        <f t="shared" si="1"/>
        <v>3.432351533104358E-2</v>
      </c>
      <c r="C54" s="4">
        <f t="shared" si="2"/>
        <v>4.020563432621669E-2</v>
      </c>
      <c r="D54" s="4">
        <f t="shared" si="3"/>
        <v>7.9287394439085196E-2</v>
      </c>
      <c r="E54" s="4">
        <f t="shared" si="4"/>
        <v>0.17317304008257484</v>
      </c>
      <c r="F54" s="4">
        <f t="shared" si="5"/>
        <v>5.1338112970914014E-2</v>
      </c>
      <c r="G54" s="4">
        <f t="shared" si="6"/>
        <v>4.1649549502567461E-2</v>
      </c>
      <c r="H54" s="4">
        <f t="shared" si="7"/>
        <v>0.11585016056489189</v>
      </c>
      <c r="I54" s="4">
        <f t="shared" si="8"/>
        <v>2.2476056923336409E-2</v>
      </c>
      <c r="J54" s="4">
        <f t="shared" si="9"/>
        <v>3.0020665879986076E-2</v>
      </c>
      <c r="K54" s="4">
        <f t="shared" si="10"/>
        <v>8.7976777869665082E-2</v>
      </c>
      <c r="L54" s="4">
        <f t="shared" si="11"/>
        <v>8.5599296475073559E-3</v>
      </c>
      <c r="M54" s="4">
        <f t="shared" si="12"/>
        <v>6.4589498490904132E-2</v>
      </c>
      <c r="N54" s="4">
        <f t="shared" si="13"/>
        <v>0.12083209433098942</v>
      </c>
      <c r="O54" s="5">
        <v>2011</v>
      </c>
      <c r="P54" s="6">
        <v>144499.84700000001</v>
      </c>
      <c r="Q54" s="6">
        <v>38234.934000000001</v>
      </c>
      <c r="R54" s="6">
        <v>44787.364000000001</v>
      </c>
      <c r="S54" s="6">
        <v>88322.78</v>
      </c>
      <c r="T54" s="6">
        <v>192907.38999999998</v>
      </c>
      <c r="U54" s="6">
        <v>57188.470999999998</v>
      </c>
      <c r="V54" s="6">
        <v>46395.824000000001</v>
      </c>
      <c r="W54" s="6">
        <v>129052.144</v>
      </c>
      <c r="X54" s="6">
        <v>25037.37</v>
      </c>
      <c r="Y54" s="6">
        <v>33441.743000000002</v>
      </c>
      <c r="Z54" s="6">
        <v>98002.383000000002</v>
      </c>
      <c r="AA54" s="6">
        <v>9535.3970000000008</v>
      </c>
      <c r="AB54" s="6">
        <v>71949.95</v>
      </c>
      <c r="AC54" s="6">
        <v>134601.80600000001</v>
      </c>
      <c r="AD54" s="6">
        <v>1113957.4030000002</v>
      </c>
      <c r="AE54" s="6">
        <v>369472.05300000001</v>
      </c>
      <c r="AF54" s="6">
        <f t="shared" si="16"/>
        <v>744485.35000000009</v>
      </c>
      <c r="AG54" s="6">
        <v>1311387.8959999999</v>
      </c>
      <c r="AH54" s="6">
        <f t="shared" si="17"/>
        <v>566902.54599999986</v>
      </c>
      <c r="AI54" s="7">
        <v>1.01817</v>
      </c>
      <c r="AJ54" s="6">
        <v>63223.157500000001</v>
      </c>
      <c r="AK54" s="4">
        <f t="shared" si="18"/>
        <v>0.33167520769194075</v>
      </c>
      <c r="AL54" s="4">
        <f t="shared" si="19"/>
        <v>0.66832479230805919</v>
      </c>
      <c r="AM54" s="6">
        <f t="shared" si="20"/>
        <v>1094078.0056375656</v>
      </c>
      <c r="AN54" s="6">
        <f t="shared" si="23"/>
        <v>362878.54975102388</v>
      </c>
      <c r="AO54" s="6">
        <f t="shared" si="24"/>
        <v>731199.45588654163</v>
      </c>
      <c r="AP54" s="6">
        <f t="shared" si="25"/>
        <v>1287985.2048282702</v>
      </c>
      <c r="AQ54" s="6">
        <f t="shared" si="26"/>
        <v>556785.74894172861</v>
      </c>
      <c r="AR54" s="7">
        <v>1.01661</v>
      </c>
      <c r="AS54" s="7">
        <v>1.04494</v>
      </c>
      <c r="AT54" s="7">
        <v>1.00681</v>
      </c>
      <c r="AU54" s="7">
        <v>1.02434</v>
      </c>
      <c r="AV54" s="7">
        <v>1.00725</v>
      </c>
      <c r="AW54" s="7">
        <v>1.0025500000000001</v>
      </c>
      <c r="AX54" s="7">
        <v>1.0481100000000001</v>
      </c>
      <c r="AY54" s="7">
        <v>0.93819999999999992</v>
      </c>
      <c r="AZ54" s="7">
        <v>0.99260999999999999</v>
      </c>
      <c r="BA54" s="7">
        <v>1.0191600000000001</v>
      </c>
      <c r="BB54" s="7">
        <v>1.02033</v>
      </c>
      <c r="BC54" s="7">
        <v>1.0198700000000001</v>
      </c>
      <c r="BD54" s="7">
        <v>1.02033</v>
      </c>
      <c r="BE54" s="7">
        <v>1.0198700000000001</v>
      </c>
      <c r="BF54" s="7">
        <v>1.01817</v>
      </c>
      <c r="BG54" s="7">
        <v>7.7932276899820678E-3</v>
      </c>
      <c r="BH54" s="7">
        <f>LN(AG54)-BG54</f>
        <v>14.078803369248364</v>
      </c>
      <c r="BI54" s="7">
        <f>LN(AR54/$BF54)</f>
        <v>-1.5333355995688946E-3</v>
      </c>
      <c r="BJ54" s="7">
        <f>LN(AS54/$BF54)</f>
        <v>2.5952569207996868E-2</v>
      </c>
      <c r="BK54" s="7">
        <f>LN(AT54/$BF54)</f>
        <v>-1.1219981603483722E-2</v>
      </c>
      <c r="BL54" s="7">
        <f>LN(AU54/$BF54)</f>
        <v>6.041604464681276E-3</v>
      </c>
      <c r="BM54" s="7">
        <f>LN(AV54/$BF54)</f>
        <v>-1.0783053203138266E-2</v>
      </c>
      <c r="BN54" s="7">
        <f>LN(AW54/$BF54)</f>
        <v>-1.546014402588188E-2</v>
      </c>
      <c r="BO54" s="7">
        <f>LN(AX54/$BF54)</f>
        <v>2.8981643930346173E-2</v>
      </c>
      <c r="BP54" s="7">
        <f>LN(AY54/$BF54)</f>
        <v>-8.1799031380237322E-2</v>
      </c>
      <c r="BQ54" s="7">
        <f>LN(AZ54/$BF54)</f>
        <v>-2.5424339620319925E-2</v>
      </c>
      <c r="BR54" s="7">
        <f>LN(BA54/$BF54)</f>
        <v>9.7186030532357031E-4</v>
      </c>
      <c r="BS54" s="7">
        <f>LN(BB54/$BF54)</f>
        <v>2.1192060911317499E-3</v>
      </c>
      <c r="BT54" s="7">
        <f>LN(BC54/$BF54)</f>
        <v>1.668269900763497E-3</v>
      </c>
      <c r="BU54" s="7">
        <f>LN(BD54/$BF54)</f>
        <v>2.1192060911317499E-3</v>
      </c>
      <c r="BV54" s="7">
        <f t="shared" si="22"/>
        <v>1.668269900763497E-3</v>
      </c>
    </row>
    <row r="55" spans="1:74" x14ac:dyDescent="0.2">
      <c r="A55" s="4">
        <f t="shared" si="15"/>
        <v>0.13252780567508318</v>
      </c>
      <c r="B55" s="4">
        <f t="shared" si="1"/>
        <v>3.4808224657722875E-2</v>
      </c>
      <c r="C55" s="4">
        <f t="shared" si="2"/>
        <v>3.9570009938120827E-2</v>
      </c>
      <c r="D55" s="4">
        <f t="shared" si="3"/>
        <v>8.8375722171281368E-2</v>
      </c>
      <c r="E55" s="4">
        <f t="shared" si="4"/>
        <v>0.17144142843255095</v>
      </c>
      <c r="F55" s="4">
        <f t="shared" si="5"/>
        <v>5.0594784224787186E-2</v>
      </c>
      <c r="G55" s="4">
        <f t="shared" si="6"/>
        <v>4.1888844626965537E-2</v>
      </c>
      <c r="H55" s="4">
        <f t="shared" si="7"/>
        <v>0.11196656574933986</v>
      </c>
      <c r="I55" s="4">
        <f t="shared" si="8"/>
        <v>2.2843936894352074E-2</v>
      </c>
      <c r="J55" s="4">
        <f t="shared" si="9"/>
        <v>2.7912900760503991E-2</v>
      </c>
      <c r="K55" s="4">
        <f t="shared" si="10"/>
        <v>8.5868488203143856E-2</v>
      </c>
      <c r="L55" s="4">
        <f t="shared" si="11"/>
        <v>8.7702787206442884E-3</v>
      </c>
      <c r="M55" s="4">
        <f t="shared" si="12"/>
        <v>6.4914062094457187E-2</v>
      </c>
      <c r="N55" s="4">
        <f t="shared" si="13"/>
        <v>0.11851694785104694</v>
      </c>
      <c r="O55" s="5">
        <v>2012</v>
      </c>
      <c r="P55" s="6">
        <v>149772.46900000001</v>
      </c>
      <c r="Q55" s="6">
        <v>39337.508999999998</v>
      </c>
      <c r="R55" s="6">
        <v>44718.902999999998</v>
      </c>
      <c r="S55" s="6">
        <v>99875.267999999996</v>
      </c>
      <c r="T55" s="6">
        <v>193749.57500000001</v>
      </c>
      <c r="U55" s="6">
        <v>57178.233</v>
      </c>
      <c r="V55" s="6">
        <v>47339.466999999997</v>
      </c>
      <c r="W55" s="6">
        <v>126535.77800000001</v>
      </c>
      <c r="X55" s="6">
        <v>25816.415000000001</v>
      </c>
      <c r="Y55" s="6">
        <v>31544.957999999999</v>
      </c>
      <c r="Z55" s="6">
        <v>97041.79</v>
      </c>
      <c r="AA55" s="6">
        <v>9911.4770000000008</v>
      </c>
      <c r="AB55" s="6">
        <v>73360.751000000004</v>
      </c>
      <c r="AC55" s="6">
        <v>133938.503</v>
      </c>
      <c r="AD55" s="6">
        <v>1130121.0959999999</v>
      </c>
      <c r="AE55" s="6">
        <v>379116.772</v>
      </c>
      <c r="AF55" s="6">
        <f t="shared" si="16"/>
        <v>751004.32399999991</v>
      </c>
      <c r="AG55" s="6">
        <v>1318313.9369999999</v>
      </c>
      <c r="AH55" s="6">
        <f t="shared" si="17"/>
        <v>567309.61300000001</v>
      </c>
      <c r="AI55" s="7">
        <v>1.0325</v>
      </c>
      <c r="AJ55" s="6">
        <v>63536.917999999998</v>
      </c>
      <c r="AK55" s="4">
        <f t="shared" si="18"/>
        <v>0.33546561810222153</v>
      </c>
      <c r="AL55" s="4">
        <f t="shared" si="19"/>
        <v>0.66453438189777847</v>
      </c>
      <c r="AM55" s="6">
        <f t="shared" si="20"/>
        <v>1094548.2769975786</v>
      </c>
      <c r="AN55" s="6">
        <f t="shared" si="23"/>
        <v>367183.3142857143</v>
      </c>
      <c r="AO55" s="6">
        <f t="shared" si="24"/>
        <v>727364.96271186438</v>
      </c>
      <c r="AP55" s="6">
        <f t="shared" si="25"/>
        <v>1276817.3723970945</v>
      </c>
      <c r="AQ55" s="6">
        <f t="shared" si="26"/>
        <v>549452.40968523</v>
      </c>
      <c r="AR55" s="7">
        <v>1.0481699999999998</v>
      </c>
      <c r="AS55" s="7">
        <v>1.0986499999999999</v>
      </c>
      <c r="AT55" s="7">
        <v>1.02782</v>
      </c>
      <c r="AU55" s="7">
        <v>1.0499700000000001</v>
      </c>
      <c r="AV55" s="7">
        <v>1.0232999999999999</v>
      </c>
      <c r="AW55" s="7">
        <v>1.00071</v>
      </c>
      <c r="AX55" s="7">
        <v>1.08</v>
      </c>
      <c r="AY55" s="7">
        <v>0.79819999999999991</v>
      </c>
      <c r="AZ55" s="7">
        <v>0.99604999999999999</v>
      </c>
      <c r="BA55" s="7">
        <v>1.0299800000000001</v>
      </c>
      <c r="BB55" s="7">
        <v>1.0488299999999999</v>
      </c>
      <c r="BC55" s="7">
        <v>1.01234</v>
      </c>
      <c r="BD55" s="7">
        <v>1.0488299999999999</v>
      </c>
      <c r="BE55" s="7">
        <v>1.01234</v>
      </c>
      <c r="BF55" s="7">
        <v>1.0325</v>
      </c>
      <c r="BG55" s="7">
        <v>6.3603300438947906E-3</v>
      </c>
      <c r="BH55" s="7">
        <f>LN(AG55)-BG55</f>
        <v>14.085503827595005</v>
      </c>
      <c r="BI55" s="7">
        <f>LN(AR55/$BF55)</f>
        <v>1.5062740631031439E-2</v>
      </c>
      <c r="BJ55" s="7">
        <f>LN(AS55/$BF55)</f>
        <v>6.2099107508088031E-2</v>
      </c>
      <c r="BK55" s="7">
        <f>LN(AT55/$BF55)</f>
        <v>-4.5429914276597736E-3</v>
      </c>
      <c r="BL55" s="7">
        <f>LN(AU55/$BF55)</f>
        <v>1.6778546479638751E-2</v>
      </c>
      <c r="BM55" s="7">
        <f>LN(AV55/$BF55)</f>
        <v>-8.950346742478181E-3</v>
      </c>
      <c r="BN55" s="7">
        <f>LN(AW55/$BF55)</f>
        <v>-3.1273297783810612E-2</v>
      </c>
      <c r="BO55" s="7">
        <f>LN(AX55/$BF55)</f>
        <v>4.4977995283077589E-2</v>
      </c>
      <c r="BP55" s="7">
        <f>LN(AY55/$BF55)</f>
        <v>-0.25737913222055436</v>
      </c>
      <c r="BQ55" s="7">
        <f>LN(AZ55/$BF55)</f>
        <v>-3.5940867707394838E-2</v>
      </c>
      <c r="BR55" s="7">
        <f>LN(BA55/$BF55)</f>
        <v>-2.4436612757560384E-3</v>
      </c>
      <c r="BS55" s="7">
        <f>LN(BB55/$BF55)</f>
        <v>1.5692211324205365E-2</v>
      </c>
      <c r="BT55" s="7">
        <f>LN(BC55/$BF55)</f>
        <v>-1.9718563033068657E-2</v>
      </c>
      <c r="BU55" s="7">
        <f>LN(BD55/$BF55)</f>
        <v>1.5692211324205365E-2</v>
      </c>
      <c r="BV55" s="7">
        <f t="shared" si="22"/>
        <v>-1.9718563033068657E-2</v>
      </c>
    </row>
    <row r="56" spans="1:74" x14ac:dyDescent="0.2">
      <c r="A56" s="4">
        <f t="shared" si="15"/>
        <v>0.1342724126742432</v>
      </c>
      <c r="B56" s="4">
        <f t="shared" si="1"/>
        <v>3.5231896703968986E-2</v>
      </c>
      <c r="C56" s="4">
        <f t="shared" si="2"/>
        <v>3.9205249084573471E-2</v>
      </c>
      <c r="D56" s="4">
        <f t="shared" si="3"/>
        <v>9.2709076765468842E-2</v>
      </c>
      <c r="E56" s="4">
        <f t="shared" si="4"/>
        <v>0.17142086338301266</v>
      </c>
      <c r="F56" s="4">
        <f t="shared" si="5"/>
        <v>4.9495901632261467E-2</v>
      </c>
      <c r="G56" s="4">
        <f t="shared" si="6"/>
        <v>4.1881311923611948E-2</v>
      </c>
      <c r="H56" s="4">
        <f t="shared" si="7"/>
        <v>0.10816377864958414</v>
      </c>
      <c r="I56" s="4">
        <f t="shared" si="8"/>
        <v>2.3064775855515918E-2</v>
      </c>
      <c r="J56" s="4">
        <f t="shared" si="9"/>
        <v>2.6829632147360827E-2</v>
      </c>
      <c r="K56" s="4">
        <f t="shared" si="10"/>
        <v>8.3413896519693984E-2</v>
      </c>
      <c r="L56" s="4">
        <f t="shared" si="11"/>
        <v>9.1203228100423996E-3</v>
      </c>
      <c r="M56" s="4">
        <f t="shared" si="12"/>
        <v>6.4847295739892521E-2</v>
      </c>
      <c r="N56" s="4">
        <f t="shared" si="13"/>
        <v>0.12034358611076956</v>
      </c>
      <c r="O56" s="5">
        <v>2013</v>
      </c>
      <c r="P56" s="6">
        <v>153369.66399999999</v>
      </c>
      <c r="Q56" s="6">
        <v>40242.847000000002</v>
      </c>
      <c r="R56" s="6">
        <v>44781.32</v>
      </c>
      <c r="S56" s="6">
        <v>105894.872</v>
      </c>
      <c r="T56" s="6">
        <v>195801.65199999997</v>
      </c>
      <c r="U56" s="6">
        <v>56535.588000000003</v>
      </c>
      <c r="V56" s="6">
        <v>47837.993000000002</v>
      </c>
      <c r="W56" s="6">
        <v>123547.66</v>
      </c>
      <c r="X56" s="6">
        <v>26345.224999999999</v>
      </c>
      <c r="Y56" s="6">
        <v>30645.547999999999</v>
      </c>
      <c r="Z56" s="6">
        <v>95277.66</v>
      </c>
      <c r="AA56" s="6">
        <v>10417.485000000001</v>
      </c>
      <c r="AB56" s="6">
        <v>74070.375</v>
      </c>
      <c r="AC56" s="6">
        <v>137459.77299999999</v>
      </c>
      <c r="AD56" s="6">
        <v>1142227.662</v>
      </c>
      <c r="AE56" s="6">
        <v>386869.24800000002</v>
      </c>
      <c r="AF56" s="6">
        <f t="shared" si="16"/>
        <v>755358.41399999999</v>
      </c>
      <c r="AG56" s="6">
        <v>1321925.463</v>
      </c>
      <c r="AH56" s="6">
        <f t="shared" si="17"/>
        <v>566567.049</v>
      </c>
      <c r="AI56" s="7">
        <v>1.0391900000000001</v>
      </c>
      <c r="AJ56" s="6">
        <v>63862.824500000002</v>
      </c>
      <c r="AK56" s="4">
        <f t="shared" si="18"/>
        <v>0.33869714494797448</v>
      </c>
      <c r="AL56" s="4">
        <f t="shared" si="19"/>
        <v>0.66130285505202546</v>
      </c>
      <c r="AM56" s="6">
        <f t="shared" si="20"/>
        <v>1099151.8990752413</v>
      </c>
      <c r="AN56" s="6">
        <f t="shared" si="23"/>
        <v>372279.61008092843</v>
      </c>
      <c r="AO56" s="6">
        <f t="shared" si="24"/>
        <v>726872.28899431287</v>
      </c>
      <c r="AP56" s="6">
        <f t="shared" si="25"/>
        <v>1272072.9250666383</v>
      </c>
      <c r="AQ56" s="6">
        <f t="shared" si="26"/>
        <v>545200.63607232552</v>
      </c>
      <c r="AR56" s="7">
        <v>1.0602200000000002</v>
      </c>
      <c r="AS56" s="7">
        <v>1.1570199999999999</v>
      </c>
      <c r="AT56" s="7">
        <v>1.03704</v>
      </c>
      <c r="AU56" s="7">
        <v>1.0693999999999999</v>
      </c>
      <c r="AV56" s="7">
        <v>1.02874</v>
      </c>
      <c r="AW56" s="7">
        <v>0.99441000000000002</v>
      </c>
      <c r="AX56" s="7">
        <v>1.0842700000000001</v>
      </c>
      <c r="AY56" s="7">
        <v>0.67740999999999996</v>
      </c>
      <c r="AZ56" s="7">
        <v>0.99376999999999993</v>
      </c>
      <c r="BA56" s="7">
        <v>1.03772</v>
      </c>
      <c r="BB56" s="7">
        <v>1.0718399999999999</v>
      </c>
      <c r="BC56" s="7">
        <v>1.02054</v>
      </c>
      <c r="BD56" s="7">
        <v>1.0718399999999999</v>
      </c>
      <c r="BE56" s="7">
        <v>1.02054</v>
      </c>
      <c r="BF56" s="7">
        <v>1.0391900000000001</v>
      </c>
      <c r="BG56" s="7">
        <v>2.4485741904643841E-4</v>
      </c>
      <c r="BH56" s="7">
        <f>LN(AG56)-BG56</f>
        <v>14.094355058388224</v>
      </c>
      <c r="BI56" s="7">
        <f>LN(AR56/$BF56)</f>
        <v>2.0034870217658693E-2</v>
      </c>
      <c r="BJ56" s="7">
        <f>LN(AS56/$BF56)</f>
        <v>0.10740617060564428</v>
      </c>
      <c r="BK56" s="7">
        <f>LN(AT56/$BF56)</f>
        <v>-2.0710622315441144E-3</v>
      </c>
      <c r="BL56" s="7">
        <f>LN(AU56/$BF56)</f>
        <v>2.8656179991299661E-2</v>
      </c>
      <c r="BM56" s="7">
        <f>LN(AV56/$BF56)</f>
        <v>-1.0106811113926036E-2</v>
      </c>
      <c r="BN56" s="7">
        <f>LN(AW56/$BF56)</f>
        <v>-4.4047246062028471E-2</v>
      </c>
      <c r="BO56" s="7">
        <f>LN(AX56/$BF56)</f>
        <v>4.2465385952386789E-2</v>
      </c>
      <c r="BP56" s="7">
        <f>LN(AY56/$BF56)</f>
        <v>-0.42792013992207967</v>
      </c>
      <c r="BQ56" s="7">
        <f>LN(AZ56/$BF56)</f>
        <v>-4.469105097114727E-2</v>
      </c>
      <c r="BR56" s="7">
        <f>LN(BA56/$BF56)</f>
        <v>-1.4155647047473603E-3</v>
      </c>
      <c r="BS56" s="7">
        <f>LN(BB56/$BF56)</f>
        <v>3.0935234236625871E-2</v>
      </c>
      <c r="BT56" s="7">
        <f>LN(BC56/$BF56)</f>
        <v>-1.810966456927612E-2</v>
      </c>
      <c r="BU56" s="7">
        <f>LN(BD56/$BF56)</f>
        <v>3.0935234236625871E-2</v>
      </c>
      <c r="BV56" s="7">
        <f t="shared" si="22"/>
        <v>-1.810966456927612E-2</v>
      </c>
    </row>
    <row r="57" spans="1:74" x14ac:dyDescent="0.2">
      <c r="A57" s="4">
        <f t="shared" si="15"/>
        <v>0.13342809226834862</v>
      </c>
      <c r="B57" s="4">
        <f t="shared" si="1"/>
        <v>3.526915346144259E-2</v>
      </c>
      <c r="C57" s="4">
        <f t="shared" si="2"/>
        <v>3.9482184476288457E-2</v>
      </c>
      <c r="D57" s="4">
        <f t="shared" si="3"/>
        <v>8.3205565389888311E-2</v>
      </c>
      <c r="E57" s="4">
        <f t="shared" si="4"/>
        <v>0.17990114651219186</v>
      </c>
      <c r="F57" s="4">
        <f t="shared" si="5"/>
        <v>4.9437440560624421E-2</v>
      </c>
      <c r="G57" s="4">
        <f t="shared" si="6"/>
        <v>4.209539962837814E-2</v>
      </c>
      <c r="H57" s="4">
        <f t="shared" si="7"/>
        <v>0.106723816879904</v>
      </c>
      <c r="I57" s="4">
        <f t="shared" si="8"/>
        <v>2.3527804067867732E-2</v>
      </c>
      <c r="J57" s="4">
        <f t="shared" si="9"/>
        <v>2.609171404639558E-2</v>
      </c>
      <c r="K57" s="4">
        <f t="shared" si="10"/>
        <v>8.3989420494324118E-2</v>
      </c>
      <c r="L57" s="4">
        <f t="shared" si="11"/>
        <v>9.2541501964354365E-3</v>
      </c>
      <c r="M57" s="4">
        <f t="shared" si="12"/>
        <v>6.7368740156435805E-2</v>
      </c>
      <c r="N57" s="4">
        <f t="shared" si="13"/>
        <v>0.12022537186147496</v>
      </c>
      <c r="O57" s="5">
        <v>2014</v>
      </c>
      <c r="P57" s="6">
        <v>153128.527</v>
      </c>
      <c r="Q57" s="6">
        <v>40476.584999999999</v>
      </c>
      <c r="R57" s="6">
        <v>45311.663</v>
      </c>
      <c r="S57" s="6">
        <v>95490.727999999988</v>
      </c>
      <c r="T57" s="6">
        <v>206463.25</v>
      </c>
      <c r="U57" s="6">
        <v>56736.796000000002</v>
      </c>
      <c r="V57" s="6">
        <v>48310.714999999997</v>
      </c>
      <c r="W57" s="6">
        <v>122481.41</v>
      </c>
      <c r="X57" s="6">
        <v>27001.645</v>
      </c>
      <c r="Y57" s="6">
        <v>29944.112000000001</v>
      </c>
      <c r="Z57" s="6">
        <v>96390.317999999999</v>
      </c>
      <c r="AA57" s="6">
        <v>10620.51</v>
      </c>
      <c r="AB57" s="6">
        <v>77315.622000000003</v>
      </c>
      <c r="AC57" s="6">
        <v>137976.44699999999</v>
      </c>
      <c r="AD57" s="6">
        <v>1147648.328</v>
      </c>
      <c r="AE57" s="6">
        <v>387074.75900000002</v>
      </c>
      <c r="AF57" s="6">
        <f t="shared" si="16"/>
        <v>760573.5689999999</v>
      </c>
      <c r="AG57" s="6">
        <v>1338491.1270000001</v>
      </c>
      <c r="AH57" s="6">
        <f t="shared" si="17"/>
        <v>577917.55800000019</v>
      </c>
      <c r="AI57" s="7">
        <v>1.0403799999999999</v>
      </c>
      <c r="AJ57" s="6">
        <v>64185.866000000002</v>
      </c>
      <c r="AK57" s="4">
        <f t="shared" si="18"/>
        <v>0.33727645442968834</v>
      </c>
      <c r="AL57" s="4">
        <f t="shared" si="19"/>
        <v>0.66272354557031155</v>
      </c>
      <c r="AM57" s="6">
        <f t="shared" si="20"/>
        <v>1103104.9501143815</v>
      </c>
      <c r="AN57" s="6">
        <f t="shared" si="23"/>
        <v>372051.32643841679</v>
      </c>
      <c r="AO57" s="6">
        <f t="shared" si="24"/>
        <v>731053.62367596454</v>
      </c>
      <c r="AP57" s="6">
        <f t="shared" si="25"/>
        <v>1286540.6168899827</v>
      </c>
      <c r="AQ57" s="6">
        <f t="shared" si="26"/>
        <v>555486.99321401818</v>
      </c>
      <c r="AR57" s="7">
        <v>1.0473399999999999</v>
      </c>
      <c r="AS57" s="7">
        <v>1.1963900000000001</v>
      </c>
      <c r="AT57" s="7">
        <v>1.03746</v>
      </c>
      <c r="AU57" s="7">
        <v>1.08369</v>
      </c>
      <c r="AV57" s="7">
        <v>1.0294099999999999</v>
      </c>
      <c r="AW57" s="7">
        <v>0.98781000000000008</v>
      </c>
      <c r="AX57" s="7">
        <v>1.08673</v>
      </c>
      <c r="AY57" s="7">
        <v>0.63129000000000002</v>
      </c>
      <c r="AZ57" s="7">
        <v>0.99081000000000008</v>
      </c>
      <c r="BA57" s="7">
        <v>1.0430999999999999</v>
      </c>
      <c r="BB57" s="7">
        <v>1.1010599999999999</v>
      </c>
      <c r="BC57" s="7">
        <v>1.00718</v>
      </c>
      <c r="BD57" s="7">
        <v>1.1010599999999999</v>
      </c>
      <c r="BE57" s="7">
        <v>1.00718</v>
      </c>
      <c r="BF57" s="7">
        <v>1.0403799999999999</v>
      </c>
      <c r="BG57" s="7">
        <v>-3.9656044238281013E-3</v>
      </c>
      <c r="BH57" s="7">
        <f>LN(AG57)-BG57</f>
        <v>14.111019117282016</v>
      </c>
      <c r="BI57" s="7">
        <f>LN(AR57/$BF57)</f>
        <v>6.6675854854719293E-3</v>
      </c>
      <c r="BJ57" s="7">
        <f>LN(AS57/$BF57)</f>
        <v>0.13972265829820218</v>
      </c>
      <c r="BK57" s="7">
        <f>LN(AT57/$BF57)</f>
        <v>-2.8106128693471005E-3</v>
      </c>
      <c r="BL57" s="7">
        <f>LN(AU57/$BF57)</f>
        <v>4.0785853226246879E-2</v>
      </c>
      <c r="BM57" s="7">
        <f>LN(AV57/$BF57)</f>
        <v>-1.0600208445894556E-2</v>
      </c>
      <c r="BN57" s="7">
        <f>LN(AW57/$BF57)</f>
        <v>-5.18509384520352E-2</v>
      </c>
      <c r="BO57" s="7">
        <f>LN(AX57/$BF57)</f>
        <v>4.3587156188790409E-2</v>
      </c>
      <c r="BP57" s="7">
        <f>LN(AY57/$BF57)</f>
        <v>-0.49957596509545837</v>
      </c>
      <c r="BQ57" s="7">
        <f>LN(AZ57/$BF57)</f>
        <v>-4.8818519595568918E-2</v>
      </c>
      <c r="BR57" s="7">
        <f>LN(BA57/$BF57)</f>
        <v>2.6110176678252389E-3</v>
      </c>
      <c r="BS57" s="7">
        <f>LN(BB57/$BF57)</f>
        <v>5.6687321136538037E-2</v>
      </c>
      <c r="BT57" s="7">
        <f>LN(BC57/$BF57)</f>
        <v>-3.2431684510504606E-2</v>
      </c>
      <c r="BU57" s="7">
        <f>LN(BD57/$BF57)</f>
        <v>5.6687321136538037E-2</v>
      </c>
      <c r="BV57" s="7">
        <f t="shared" si="22"/>
        <v>-3.2431684510504606E-2</v>
      </c>
    </row>
    <row r="58" spans="1:74" x14ac:dyDescent="0.2">
      <c r="A58" s="4">
        <f t="shared" si="15"/>
        <v>0.13317331823433651</v>
      </c>
      <c r="B58" s="4">
        <f t="shared" si="1"/>
        <v>3.5363895030703557E-2</v>
      </c>
      <c r="C58" s="4">
        <f t="shared" si="2"/>
        <v>3.8961238410652126E-2</v>
      </c>
      <c r="D58" s="4">
        <f t="shared" si="3"/>
        <v>8.3289209034332859E-2</v>
      </c>
      <c r="E58" s="4">
        <f t="shared" si="4"/>
        <v>0.17970556081821018</v>
      </c>
      <c r="F58" s="4">
        <f t="shared" si="5"/>
        <v>4.9179549656457079E-2</v>
      </c>
      <c r="G58" s="4">
        <f t="shared" si="6"/>
        <v>4.1792656056304361E-2</v>
      </c>
      <c r="H58" s="4">
        <f t="shared" si="7"/>
        <v>0.10585502464465159</v>
      </c>
      <c r="I58" s="4">
        <f t="shared" si="8"/>
        <v>2.3563394878719179E-2</v>
      </c>
      <c r="J58" s="4">
        <f t="shared" si="9"/>
        <v>2.5695516197397277E-2</v>
      </c>
      <c r="K58" s="4">
        <f t="shared" si="10"/>
        <v>8.3376004104499732E-2</v>
      </c>
      <c r="L58" s="4">
        <f t="shared" si="11"/>
        <v>9.3949958780356509E-3</v>
      </c>
      <c r="M58" s="4">
        <f t="shared" si="12"/>
        <v>6.7490382118900946E-2</v>
      </c>
      <c r="N58" s="4">
        <f t="shared" si="13"/>
        <v>0.123159254936799</v>
      </c>
      <c r="O58" s="5">
        <v>2015</v>
      </c>
      <c r="P58" s="6">
        <v>155358.261</v>
      </c>
      <c r="Q58" s="6">
        <v>41255.06</v>
      </c>
      <c r="R58" s="6">
        <v>45451.673999999999</v>
      </c>
      <c r="S58" s="6">
        <v>97164.108000000007</v>
      </c>
      <c r="T58" s="6">
        <v>209642.16999999998</v>
      </c>
      <c r="U58" s="6">
        <v>57372.222999999998</v>
      </c>
      <c r="V58" s="6">
        <v>48754.769</v>
      </c>
      <c r="W58" s="6">
        <v>123489.095</v>
      </c>
      <c r="X58" s="6">
        <v>27488.75</v>
      </c>
      <c r="Y58" s="6">
        <v>29976.055</v>
      </c>
      <c r="Z58" s="6">
        <v>97265.361999999994</v>
      </c>
      <c r="AA58" s="6">
        <v>10960.08</v>
      </c>
      <c r="AB58" s="6">
        <v>78733.402000000002</v>
      </c>
      <c r="AC58" s="6">
        <v>143675.98499999999</v>
      </c>
      <c r="AD58" s="6">
        <v>1166586.9939999999</v>
      </c>
      <c r="AE58" s="6">
        <v>393891.94500000001</v>
      </c>
      <c r="AF58" s="6">
        <f t="shared" si="16"/>
        <v>772695.04899999988</v>
      </c>
      <c r="AG58" s="6">
        <v>1353320.324</v>
      </c>
      <c r="AH58" s="6">
        <f t="shared" si="17"/>
        <v>580625.27500000014</v>
      </c>
      <c r="AI58" s="7">
        <v>1.0431600000000001</v>
      </c>
      <c r="AJ58" s="6">
        <v>64474.273500000003</v>
      </c>
      <c r="AK58" s="4">
        <f t="shared" si="18"/>
        <v>0.33764472519055017</v>
      </c>
      <c r="AL58" s="4">
        <f t="shared" si="19"/>
        <v>0.66235527480944978</v>
      </c>
      <c r="AM58" s="6">
        <f t="shared" si="20"/>
        <v>1118320.2902718661</v>
      </c>
      <c r="AN58" s="6">
        <f t="shared" si="23"/>
        <v>377594.94708386058</v>
      </c>
      <c r="AO58" s="6">
        <f t="shared" si="24"/>
        <v>740725.3431880055</v>
      </c>
      <c r="AP58" s="6">
        <f t="shared" si="25"/>
        <v>1297327.6621036083</v>
      </c>
      <c r="AQ58" s="6">
        <f t="shared" si="26"/>
        <v>556602.31891560263</v>
      </c>
      <c r="AR58" s="7">
        <v>1.0517799999999999</v>
      </c>
      <c r="AS58" s="7">
        <v>1.2022599999999999</v>
      </c>
      <c r="AT58" s="7">
        <v>1.0288599999999999</v>
      </c>
      <c r="AU58" s="7">
        <v>1.08876</v>
      </c>
      <c r="AV58" s="7">
        <v>1.02871</v>
      </c>
      <c r="AW58" s="7">
        <v>0.97770999999999997</v>
      </c>
      <c r="AX58" s="7">
        <v>1.0705200000000001</v>
      </c>
      <c r="AY58" s="7">
        <v>0.60655000000000003</v>
      </c>
      <c r="AZ58" s="7">
        <v>0.98831000000000002</v>
      </c>
      <c r="BA58" s="7">
        <v>1.0495699999999999</v>
      </c>
      <c r="BB58" s="7">
        <v>1.1173</v>
      </c>
      <c r="BC58" s="7">
        <v>1.03796</v>
      </c>
      <c r="BD58" s="7">
        <v>1.1173</v>
      </c>
      <c r="BE58" s="7">
        <v>1.03796</v>
      </c>
      <c r="BF58" s="7">
        <v>1.0431600000000001</v>
      </c>
      <c r="BG58" s="7">
        <v>-2.0314675407968434E-3</v>
      </c>
      <c r="BH58" s="7">
        <f>LN(AG58)-BG58</f>
        <v>14.120103097596516</v>
      </c>
      <c r="BI58" s="7">
        <f>LN(AR58/$BF58)</f>
        <v>8.2293990736152078E-3</v>
      </c>
      <c r="BJ58" s="7">
        <f>LN(AS58/$BF58)</f>
        <v>0.14194855098178169</v>
      </c>
      <c r="BK58" s="7">
        <f>LN(AT58/$BF58)</f>
        <v>-1.3803174722934979E-2</v>
      </c>
      <c r="BL58" s="7">
        <f>LN(AU58/$BF58)</f>
        <v>4.2784866090564554E-2</v>
      </c>
      <c r="BM58" s="7">
        <f>LN(AV58/$BF58)</f>
        <v>-1.3948977782141289E-2</v>
      </c>
      <c r="BN58" s="7">
        <f>LN(AW58/$BF58)</f>
        <v>-6.4796744333329256E-2</v>
      </c>
      <c r="BO58" s="7">
        <f>LN(AX58/$BF58)</f>
        <v>2.588994383471924E-2</v>
      </c>
      <c r="BP58" s="7">
        <f>LN(AY58/$BF58)</f>
        <v>-0.54222268166204479</v>
      </c>
      <c r="BQ58" s="7">
        <f>LN(AZ58/$BF58)</f>
        <v>-5.401343316291992E-2</v>
      </c>
      <c r="BR58" s="7">
        <f>LN(BA58/$BF58)</f>
        <v>6.1259885852956711E-3</v>
      </c>
      <c r="BS58" s="7">
        <f>LN(BB58/$BF58)</f>
        <v>6.8660492674318868E-2</v>
      </c>
      <c r="BT58" s="7">
        <f>LN(BC58/$BF58)</f>
        <v>-4.9973195411285882E-3</v>
      </c>
      <c r="BU58" s="7">
        <f>LN(BD58/$BF58)</f>
        <v>6.8660492674318868E-2</v>
      </c>
      <c r="BV58" s="7">
        <f t="shared" si="22"/>
        <v>-4.9973195411285882E-3</v>
      </c>
    </row>
    <row r="59" spans="1:74" x14ac:dyDescent="0.2">
      <c r="A59" s="4">
        <f t="shared" si="15"/>
        <v>0.13359717437015098</v>
      </c>
      <c r="B59" s="4">
        <f t="shared" si="1"/>
        <v>3.5129100232865716E-2</v>
      </c>
      <c r="C59" s="4">
        <f t="shared" si="2"/>
        <v>3.7909059527756042E-2</v>
      </c>
      <c r="D59" s="4">
        <f t="shared" si="3"/>
        <v>8.3064055939383027E-2</v>
      </c>
      <c r="E59" s="4">
        <f t="shared" si="4"/>
        <v>0.17894010017166048</v>
      </c>
      <c r="F59" s="4">
        <f t="shared" si="5"/>
        <v>4.8634794432573125E-2</v>
      </c>
      <c r="G59" s="4">
        <f t="shared" si="6"/>
        <v>4.176743154533602E-2</v>
      </c>
      <c r="H59" s="4">
        <f t="shared" si="7"/>
        <v>0.10724493013131356</v>
      </c>
      <c r="I59" s="4">
        <f t="shared" si="8"/>
        <v>2.3632930963402889E-2</v>
      </c>
      <c r="J59" s="4">
        <f t="shared" si="9"/>
        <v>2.5834809301585802E-2</v>
      </c>
      <c r="K59" s="4">
        <f t="shared" si="10"/>
        <v>8.4662196037387907E-2</v>
      </c>
      <c r="L59" s="4">
        <f t="shared" si="11"/>
        <v>9.5023823223535208E-3</v>
      </c>
      <c r="M59" s="4">
        <f t="shared" si="12"/>
        <v>6.9503587460917615E-2</v>
      </c>
      <c r="N59" s="4">
        <f t="shared" si="13"/>
        <v>0.12057744756331326</v>
      </c>
      <c r="O59" s="5">
        <v>2016</v>
      </c>
      <c r="P59" s="6">
        <v>158630.89799999999</v>
      </c>
      <c r="Q59" s="6">
        <v>41711.665999999997</v>
      </c>
      <c r="R59" s="6">
        <v>45012.54</v>
      </c>
      <c r="S59" s="6">
        <v>98628.775999999998</v>
      </c>
      <c r="T59" s="6">
        <v>212470.27799999999</v>
      </c>
      <c r="U59" s="6">
        <v>57748.086000000003</v>
      </c>
      <c r="V59" s="6">
        <v>49593.902000000002</v>
      </c>
      <c r="W59" s="6">
        <v>127340.71400000001</v>
      </c>
      <c r="X59" s="6">
        <v>28061.32</v>
      </c>
      <c r="Y59" s="6">
        <v>30675.791000000001</v>
      </c>
      <c r="Z59" s="6">
        <v>100526.379</v>
      </c>
      <c r="AA59" s="6">
        <v>11282.959000000001</v>
      </c>
      <c r="AB59" s="6">
        <v>82527.317999999999</v>
      </c>
      <c r="AC59" s="6">
        <v>143171.50700000001</v>
      </c>
      <c r="AD59" s="6">
        <v>1187382.1340000001</v>
      </c>
      <c r="AE59" s="6">
        <v>399501.98300000001</v>
      </c>
      <c r="AF59" s="6">
        <f t="shared" si="16"/>
        <v>787880.15100000007</v>
      </c>
      <c r="AG59" s="6">
        <v>1376974.63</v>
      </c>
      <c r="AH59" s="6">
        <f t="shared" si="17"/>
        <v>589094.47899999982</v>
      </c>
      <c r="AI59" s="7">
        <v>1.04264</v>
      </c>
      <c r="AJ59" s="6">
        <v>64732.099000000002</v>
      </c>
      <c r="AK59" s="4">
        <f t="shared" si="18"/>
        <v>0.33645611767306582</v>
      </c>
      <c r="AL59" s="4">
        <f t="shared" si="19"/>
        <v>0.66354388232693418</v>
      </c>
      <c r="AM59" s="6">
        <f t="shared" si="20"/>
        <v>1138822.7326785852</v>
      </c>
      <c r="AN59" s="6">
        <f t="shared" si="23"/>
        <v>383163.87535486842</v>
      </c>
      <c r="AO59" s="6">
        <f t="shared" si="24"/>
        <v>755658.85732371674</v>
      </c>
      <c r="AP59" s="6">
        <f t="shared" si="25"/>
        <v>1320661.6185835954</v>
      </c>
      <c r="AQ59" s="6">
        <f t="shared" si="26"/>
        <v>565002.76125987864</v>
      </c>
      <c r="AR59" s="7">
        <v>1.0608899999999999</v>
      </c>
      <c r="AS59" s="7">
        <v>1.2076900000000002</v>
      </c>
      <c r="AT59" s="7">
        <v>1.0257399999999999</v>
      </c>
      <c r="AU59" s="7">
        <v>1.09032</v>
      </c>
      <c r="AV59" s="7">
        <v>1.0234799999999999</v>
      </c>
      <c r="AW59" s="7">
        <v>0.96959999999999991</v>
      </c>
      <c r="AX59" s="7">
        <v>1.05836</v>
      </c>
      <c r="AY59" s="7">
        <v>0.59609999999999996</v>
      </c>
      <c r="AZ59" s="7">
        <v>0.99339</v>
      </c>
      <c r="BA59" s="7">
        <v>1.05802</v>
      </c>
      <c r="BB59" s="7">
        <v>1.13689</v>
      </c>
      <c r="BC59" s="7">
        <v>1.0275799999999999</v>
      </c>
      <c r="BD59" s="7">
        <v>1.13689</v>
      </c>
      <c r="BE59" s="7">
        <v>1.0275799999999999</v>
      </c>
      <c r="BF59" s="7">
        <v>1.04264</v>
      </c>
      <c r="BG59" s="7">
        <v>-3.1720067260150352E-3</v>
      </c>
      <c r="BH59" s="7">
        <f>LN(AG59)-BG59</f>
        <v>14.138571360156696</v>
      </c>
      <c r="BI59" s="7">
        <f>LN(AR59/$BF59)</f>
        <v>1.7352220239245365E-2</v>
      </c>
      <c r="BJ59" s="7">
        <f>LN(AS59/$BF59)</f>
        <v>0.14695348582254739</v>
      </c>
      <c r="BK59" s="7">
        <f>LN(AT59/$BF59)</f>
        <v>-1.634165491186302E-2</v>
      </c>
      <c r="BL59" s="7">
        <f>LN(AU59/$BF59)</f>
        <v>4.4715272896793223E-2</v>
      </c>
      <c r="BM59" s="7">
        <f>LN(AV59/$BF59)</f>
        <v>-1.8547373103446028E-2</v>
      </c>
      <c r="BN59" s="7">
        <f>LN(AW59/$BF59)</f>
        <v>-7.2627621907414494E-2</v>
      </c>
      <c r="BO59" s="7">
        <f>LN(AX59/$BF59)</f>
        <v>1.49645819691764E-2</v>
      </c>
      <c r="BP59" s="7">
        <f>LN(AY59/$BF59)</f>
        <v>-0.55910279899658366</v>
      </c>
      <c r="BQ59" s="7">
        <f>LN(AZ59/$BF59)</f>
        <v>-4.8387901038375196E-2</v>
      </c>
      <c r="BR59" s="7">
        <f>LN(BA59/$BF59)</f>
        <v>1.4643278608792125E-2</v>
      </c>
      <c r="BS59" s="7">
        <f>LN(BB59/$BF59)</f>
        <v>8.6540506025553257E-2</v>
      </c>
      <c r="BT59" s="7">
        <f>LN(BC59/$BF59)</f>
        <v>-1.4549435002141512E-2</v>
      </c>
      <c r="BU59" s="7">
        <f>LN(BD59/$BF59)</f>
        <v>8.6540506025553257E-2</v>
      </c>
      <c r="BV59" s="7">
        <f t="shared" si="22"/>
        <v>-1.4549435002141512E-2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60"/>
  <sheetViews>
    <sheetView workbookViewId="0">
      <pane xSplit="1" ySplit="2" topLeftCell="AA3" activePane="bottomRight" state="frozen"/>
      <selection pane="topRight" activeCell="B1" sqref="B1"/>
      <selection pane="bottomLeft" activeCell="A3" sqref="A3"/>
      <selection pane="bottomRight" activeCell="AA2" sqref="AA2"/>
    </sheetView>
  </sheetViews>
  <sheetFormatPr baseColWidth="10" defaultRowHeight="12.75" x14ac:dyDescent="0.2"/>
  <sheetData>
    <row r="1" spans="1:6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P1" t="s">
        <v>44</v>
      </c>
      <c r="Q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Y1" t="s">
        <v>51</v>
      </c>
      <c r="Z1" t="s">
        <v>52</v>
      </c>
      <c r="AA1" t="s">
        <v>53</v>
      </c>
      <c r="AB1" t="s">
        <v>54</v>
      </c>
      <c r="AC1" t="s">
        <v>55</v>
      </c>
      <c r="AD1" t="s">
        <v>56</v>
      </c>
      <c r="AH1" t="s">
        <v>5</v>
      </c>
      <c r="AI1" t="s">
        <v>6</v>
      </c>
      <c r="AJ1" t="s">
        <v>7</v>
      </c>
      <c r="AK1" t="s">
        <v>8</v>
      </c>
      <c r="AL1" t="s">
        <v>9</v>
      </c>
      <c r="AM1" t="s">
        <v>10</v>
      </c>
      <c r="AN1" t="s">
        <v>11</v>
      </c>
      <c r="AO1" t="s">
        <v>12</v>
      </c>
      <c r="AP1" t="s">
        <v>13</v>
      </c>
      <c r="AQ1" t="s">
        <v>14</v>
      </c>
      <c r="AR1" t="s">
        <v>15</v>
      </c>
      <c r="AS1" t="s">
        <v>16</v>
      </c>
      <c r="AT1" t="s">
        <v>17</v>
      </c>
      <c r="AU1" t="s">
        <v>18</v>
      </c>
      <c r="AV1" t="s">
        <v>22</v>
      </c>
      <c r="AW1" t="s">
        <v>23</v>
      </c>
      <c r="AX1" t="s">
        <v>24</v>
      </c>
      <c r="AY1" t="s">
        <v>25</v>
      </c>
      <c r="AZ1" t="s">
        <v>26</v>
      </c>
      <c r="BA1" t="s">
        <v>27</v>
      </c>
      <c r="BB1" t="s">
        <v>28</v>
      </c>
      <c r="BC1" t="s">
        <v>29</v>
      </c>
      <c r="BD1" t="s">
        <v>30</v>
      </c>
      <c r="BE1" t="s">
        <v>31</v>
      </c>
      <c r="BF1" t="s">
        <v>32</v>
      </c>
      <c r="BG1" t="s">
        <v>33</v>
      </c>
      <c r="BH1" t="s">
        <v>34</v>
      </c>
      <c r="BI1" t="s">
        <v>35</v>
      </c>
      <c r="BJ1" t="s">
        <v>36</v>
      </c>
      <c r="BK1" t="s">
        <v>37</v>
      </c>
    </row>
    <row r="2" spans="1:63" x14ac:dyDescent="0.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76</v>
      </c>
      <c r="G2" t="s">
        <v>77</v>
      </c>
      <c r="H2" t="s">
        <v>78</v>
      </c>
      <c r="I2" t="s">
        <v>95</v>
      </c>
      <c r="J2" t="s">
        <v>96</v>
      </c>
      <c r="K2" t="s">
        <v>97</v>
      </c>
      <c r="L2" t="s">
        <v>98</v>
      </c>
      <c r="M2" t="s">
        <v>99</v>
      </c>
      <c r="N2" t="s">
        <v>102</v>
      </c>
      <c r="P2" t="s">
        <v>103</v>
      </c>
      <c r="Q2" t="s">
        <v>104</v>
      </c>
      <c r="S2" t="s">
        <v>105</v>
      </c>
      <c r="T2" t="s">
        <v>96</v>
      </c>
      <c r="U2" t="s">
        <v>106</v>
      </c>
      <c r="V2" t="s">
        <v>100</v>
      </c>
      <c r="W2" t="s">
        <v>101</v>
      </c>
      <c r="Y2" t="s">
        <v>107</v>
      </c>
      <c r="Z2" t="s">
        <v>108</v>
      </c>
      <c r="AA2" t="s">
        <v>77</v>
      </c>
      <c r="AB2" t="s">
        <v>96</v>
      </c>
      <c r="AC2" t="s">
        <v>106</v>
      </c>
      <c r="AD2" t="s">
        <v>100</v>
      </c>
      <c r="AF2" t="s">
        <v>109</v>
      </c>
      <c r="AH2" t="s">
        <v>62</v>
      </c>
      <c r="AI2" t="s">
        <v>63</v>
      </c>
      <c r="AJ2" t="s">
        <v>64</v>
      </c>
      <c r="AK2" t="s">
        <v>65</v>
      </c>
      <c r="AL2" t="s">
        <v>66</v>
      </c>
      <c r="AM2" t="s">
        <v>67</v>
      </c>
      <c r="AN2" t="s">
        <v>68</v>
      </c>
      <c r="AO2" t="s">
        <v>69</v>
      </c>
      <c r="AP2" t="s">
        <v>70</v>
      </c>
      <c r="AQ2" t="s">
        <v>71</v>
      </c>
      <c r="AR2" t="s">
        <v>72</v>
      </c>
      <c r="AS2" t="s">
        <v>73</v>
      </c>
      <c r="AT2" t="s">
        <v>74</v>
      </c>
      <c r="AU2" t="s">
        <v>75</v>
      </c>
      <c r="AV2" t="s">
        <v>79</v>
      </c>
      <c r="AW2" t="s">
        <v>80</v>
      </c>
      <c r="AX2" t="s">
        <v>81</v>
      </c>
      <c r="AY2" t="s">
        <v>82</v>
      </c>
      <c r="AZ2" t="s">
        <v>83</v>
      </c>
      <c r="BA2" t="s">
        <v>84</v>
      </c>
      <c r="BB2" t="s">
        <v>85</v>
      </c>
      <c r="BC2" t="s">
        <v>86</v>
      </c>
      <c r="BD2" t="s">
        <v>87</v>
      </c>
      <c r="BE2" t="s">
        <v>88</v>
      </c>
      <c r="BF2" t="s">
        <v>89</v>
      </c>
      <c r="BG2" t="s">
        <v>90</v>
      </c>
      <c r="BH2" t="s">
        <v>91</v>
      </c>
      <c r="BI2" t="s">
        <v>92</v>
      </c>
      <c r="BJ2" t="s">
        <v>93</v>
      </c>
      <c r="BK2" t="s">
        <v>94</v>
      </c>
    </row>
    <row r="3" spans="1:63" x14ac:dyDescent="0.2">
      <c r="A3">
        <v>1959</v>
      </c>
      <c r="B3">
        <v>6214.1019999999999</v>
      </c>
      <c r="C3">
        <v>1727.114</v>
      </c>
      <c r="D3">
        <v>2823.355</v>
      </c>
      <c r="E3">
        <v>2661.9540000000002</v>
      </c>
      <c r="F3">
        <v>2059.895</v>
      </c>
      <c r="G3">
        <v>590.61599999999999</v>
      </c>
      <c r="H3">
        <v>2488.308</v>
      </c>
      <c r="I3">
        <v>144.22999999999999</v>
      </c>
      <c r="J3">
        <v>1703.145</v>
      </c>
      <c r="K3">
        <v>145.97900000000001</v>
      </c>
      <c r="L3">
        <v>1641.0989999999999</v>
      </c>
      <c r="M3">
        <v>1745.29</v>
      </c>
      <c r="N3">
        <v>186.68700000000001</v>
      </c>
      <c r="P3">
        <v>24131.774000000001</v>
      </c>
      <c r="Q3">
        <v>23876.345000000001</v>
      </c>
      <c r="S3">
        <v>735.83900000000006</v>
      </c>
      <c r="T3">
        <v>136.69399999999999</v>
      </c>
      <c r="U3">
        <v>92.061999999999998</v>
      </c>
      <c r="V3">
        <v>294.73700000000002</v>
      </c>
      <c r="W3">
        <v>212.346</v>
      </c>
      <c r="Y3">
        <v>3381.5709999999999</v>
      </c>
      <c r="AA3">
        <v>878.05100000000004</v>
      </c>
      <c r="AB3">
        <v>195.79400000000001</v>
      </c>
      <c r="AC3">
        <v>1764.585</v>
      </c>
      <c r="AD3">
        <v>543.14099999999996</v>
      </c>
      <c r="AF3">
        <v>28249.184000000001</v>
      </c>
      <c r="AH3">
        <v>503.755</v>
      </c>
      <c r="AI3">
        <v>850.06100000000004</v>
      </c>
      <c r="AJ3">
        <v>246.149</v>
      </c>
      <c r="AK3">
        <v>121.613</v>
      </c>
      <c r="AL3">
        <v>25.215</v>
      </c>
      <c r="AM3">
        <v>33.241999999999997</v>
      </c>
      <c r="AN3">
        <v>15.83</v>
      </c>
      <c r="AO3">
        <v>47.326000000000001</v>
      </c>
      <c r="AP3">
        <v>940.37599999999998</v>
      </c>
      <c r="AQ3">
        <v>212.71700000000001</v>
      </c>
      <c r="AR3">
        <v>220.00800000000001</v>
      </c>
      <c r="AS3">
        <v>85.751000000000005</v>
      </c>
      <c r="AT3">
        <v>403.30099999999999</v>
      </c>
      <c r="AU3">
        <v>18.600000000000001</v>
      </c>
      <c r="AV3">
        <v>654.36300000000006</v>
      </c>
      <c r="AW3">
        <v>550.86199999999997</v>
      </c>
      <c r="AX3">
        <v>80.430999999999997</v>
      </c>
      <c r="AY3">
        <v>23.068999999999999</v>
      </c>
      <c r="AZ3">
        <v>1336.4949999999999</v>
      </c>
      <c r="BA3">
        <v>65.933000000000007</v>
      </c>
      <c r="BB3">
        <v>823.70399999999995</v>
      </c>
      <c r="BC3">
        <v>397.447</v>
      </c>
      <c r="BD3">
        <v>49.41</v>
      </c>
      <c r="BE3">
        <v>497.45100000000002</v>
      </c>
      <c r="BF3">
        <v>191.78</v>
      </c>
      <c r="BG3">
        <v>144.05199999999999</v>
      </c>
      <c r="BH3">
        <v>47.709000000000003</v>
      </c>
      <c r="BI3">
        <v>33.47</v>
      </c>
      <c r="BJ3">
        <v>66.105000000000004</v>
      </c>
      <c r="BK3">
        <v>14.335000000000001</v>
      </c>
    </row>
    <row r="4" spans="1:63" x14ac:dyDescent="0.2">
      <c r="A4">
        <v>1960</v>
      </c>
      <c r="B4">
        <v>6519.8389999999999</v>
      </c>
      <c r="C4">
        <v>1803.8140000000001</v>
      </c>
      <c r="D4">
        <v>3106.2730000000001</v>
      </c>
      <c r="E4">
        <v>3032.3249999999998</v>
      </c>
      <c r="F4">
        <v>2223.92</v>
      </c>
      <c r="G4">
        <v>626.673</v>
      </c>
      <c r="H4">
        <v>2751.5459999999998</v>
      </c>
      <c r="I4">
        <v>157.27699999999999</v>
      </c>
      <c r="J4">
        <v>1915.8520000000001</v>
      </c>
      <c r="K4">
        <v>159.422</v>
      </c>
      <c r="L4">
        <v>1734.2909999999999</v>
      </c>
      <c r="M4">
        <v>1926.0719999999999</v>
      </c>
      <c r="N4">
        <v>203.482</v>
      </c>
      <c r="P4">
        <v>26160.784</v>
      </c>
      <c r="Q4">
        <v>25892.303</v>
      </c>
      <c r="S4">
        <v>800.08399999999995</v>
      </c>
      <c r="T4">
        <v>144.846</v>
      </c>
      <c r="U4">
        <v>98.822999999999993</v>
      </c>
      <c r="V4">
        <v>331.37</v>
      </c>
      <c r="W4">
        <v>225.04599999999999</v>
      </c>
      <c r="Y4">
        <v>3660.41</v>
      </c>
      <c r="AA4">
        <v>1011.929</v>
      </c>
      <c r="AB4">
        <v>205.00200000000001</v>
      </c>
      <c r="AC4">
        <v>1844.5540000000001</v>
      </c>
      <c r="AD4">
        <v>598.92499999999995</v>
      </c>
      <c r="AF4">
        <v>30621.277999999998</v>
      </c>
      <c r="AH4">
        <v>607.44000000000005</v>
      </c>
      <c r="AI4">
        <v>1027.1289999999999</v>
      </c>
      <c r="AJ4">
        <v>265.70800000000003</v>
      </c>
      <c r="AK4">
        <v>134.268</v>
      </c>
      <c r="AL4">
        <v>28.649000000000001</v>
      </c>
      <c r="AM4">
        <v>35.976999999999997</v>
      </c>
      <c r="AN4">
        <v>17.98</v>
      </c>
      <c r="AO4">
        <v>51.661000000000001</v>
      </c>
      <c r="AP4">
        <v>997.779</v>
      </c>
      <c r="AQ4">
        <v>231.81899999999999</v>
      </c>
      <c r="AR4">
        <v>233.28200000000001</v>
      </c>
      <c r="AS4">
        <v>96.117999999999995</v>
      </c>
      <c r="AT4">
        <v>415.43099999999998</v>
      </c>
      <c r="AU4">
        <v>21.13</v>
      </c>
      <c r="AV4">
        <v>737.71299999999997</v>
      </c>
      <c r="AW4">
        <v>629.30499999999995</v>
      </c>
      <c r="AX4">
        <v>84.227000000000004</v>
      </c>
      <c r="AY4">
        <v>24.18</v>
      </c>
      <c r="AZ4">
        <v>1486.58</v>
      </c>
      <c r="BA4">
        <v>70.977999999999994</v>
      </c>
      <c r="BB4">
        <v>898.28800000000001</v>
      </c>
      <c r="BC4">
        <v>458.82900000000001</v>
      </c>
      <c r="BD4">
        <v>58.484999999999999</v>
      </c>
      <c r="BE4">
        <v>527.25300000000004</v>
      </c>
      <c r="BF4">
        <v>198.57</v>
      </c>
      <c r="BG4">
        <v>153.20599999999999</v>
      </c>
      <c r="BH4">
        <v>50.997</v>
      </c>
      <c r="BI4">
        <v>34.79</v>
      </c>
      <c r="BJ4">
        <v>74.617999999999995</v>
      </c>
      <c r="BK4">
        <v>15.073</v>
      </c>
    </row>
    <row r="5" spans="1:63" x14ac:dyDescent="0.2">
      <c r="A5">
        <v>1961</v>
      </c>
      <c r="B5">
        <v>6894.7359999999999</v>
      </c>
      <c r="C5">
        <v>1892.8240000000001</v>
      </c>
      <c r="D5">
        <v>3420.9879999999998</v>
      </c>
      <c r="E5">
        <v>3430.527</v>
      </c>
      <c r="F5">
        <v>2409.203</v>
      </c>
      <c r="G5">
        <v>691.15200000000004</v>
      </c>
      <c r="H5">
        <v>3071.3110000000001</v>
      </c>
      <c r="I5">
        <v>171.77</v>
      </c>
      <c r="J5">
        <v>2164.9720000000002</v>
      </c>
      <c r="K5">
        <v>174.67099999999999</v>
      </c>
      <c r="L5">
        <v>1839.4390000000001</v>
      </c>
      <c r="M5">
        <v>2126.2530000000002</v>
      </c>
      <c r="N5">
        <v>221.35300000000001</v>
      </c>
      <c r="P5">
        <v>28509.200000000001</v>
      </c>
      <c r="Q5">
        <v>28219.503000000001</v>
      </c>
      <c r="S5">
        <v>848.56700000000001</v>
      </c>
      <c r="T5">
        <v>145.11600000000001</v>
      </c>
      <c r="U5">
        <v>108.121</v>
      </c>
      <c r="V5">
        <v>369.93799999999999</v>
      </c>
      <c r="W5">
        <v>225.392</v>
      </c>
      <c r="Y5">
        <v>4128.6130000000003</v>
      </c>
      <c r="AA5">
        <v>1202.8440000000001</v>
      </c>
      <c r="AB5">
        <v>222.23400000000001</v>
      </c>
      <c r="AC5">
        <v>2011.011</v>
      </c>
      <c r="AD5">
        <v>692.52499999999998</v>
      </c>
      <c r="AF5">
        <v>33486.381000000001</v>
      </c>
      <c r="AH5">
        <v>718.92</v>
      </c>
      <c r="AI5">
        <v>1218.9880000000001</v>
      </c>
      <c r="AJ5">
        <v>307.73700000000002</v>
      </c>
      <c r="AK5">
        <v>147.25200000000001</v>
      </c>
      <c r="AL5">
        <v>30.712</v>
      </c>
      <c r="AM5">
        <v>39.624000000000002</v>
      </c>
      <c r="AN5">
        <v>19.28</v>
      </c>
      <c r="AO5">
        <v>57.634999999999998</v>
      </c>
      <c r="AP5">
        <v>1037.6300000000001</v>
      </c>
      <c r="AQ5">
        <v>248.018</v>
      </c>
      <c r="AR5">
        <v>243.203</v>
      </c>
      <c r="AS5">
        <v>109.119</v>
      </c>
      <c r="AT5">
        <v>414.64100000000002</v>
      </c>
      <c r="AU5">
        <v>22.65</v>
      </c>
      <c r="AV5">
        <v>844.21100000000001</v>
      </c>
      <c r="AW5">
        <v>729.30799999999999</v>
      </c>
      <c r="AX5">
        <v>88.799000000000007</v>
      </c>
      <c r="AY5">
        <v>26.103999999999999</v>
      </c>
      <c r="AZ5">
        <v>1653.319</v>
      </c>
      <c r="BA5">
        <v>79.747</v>
      </c>
      <c r="BB5">
        <v>988.779</v>
      </c>
      <c r="BC5">
        <v>516.76400000000001</v>
      </c>
      <c r="BD5">
        <v>68.028999999999996</v>
      </c>
      <c r="BE5">
        <v>573.78200000000004</v>
      </c>
      <c r="BF5">
        <v>215.96</v>
      </c>
      <c r="BG5">
        <v>165.44499999999999</v>
      </c>
      <c r="BH5">
        <v>56.268999999999998</v>
      </c>
      <c r="BI5">
        <v>36.299999999999997</v>
      </c>
      <c r="BJ5">
        <v>83.707999999999998</v>
      </c>
      <c r="BK5">
        <v>16.100999999999999</v>
      </c>
    </row>
    <row r="6" spans="1:63" x14ac:dyDescent="0.2">
      <c r="A6">
        <v>1962</v>
      </c>
      <c r="B6">
        <v>7632.8879999999999</v>
      </c>
      <c r="C6">
        <v>2055.8359999999998</v>
      </c>
      <c r="D6">
        <v>3890.7240000000002</v>
      </c>
      <c r="E6">
        <v>4030.134</v>
      </c>
      <c r="F6">
        <v>2659.8910000000001</v>
      </c>
      <c r="G6">
        <v>755.25800000000004</v>
      </c>
      <c r="H6">
        <v>3479.0250000000001</v>
      </c>
      <c r="I6">
        <v>188.71199999999999</v>
      </c>
      <c r="J6">
        <v>2479.018</v>
      </c>
      <c r="K6">
        <v>195.001</v>
      </c>
      <c r="L6">
        <v>1976.84</v>
      </c>
      <c r="M6">
        <v>2381.2449999999999</v>
      </c>
      <c r="N6">
        <v>193.715</v>
      </c>
      <c r="P6">
        <v>31918.286</v>
      </c>
      <c r="Q6">
        <v>31607.374</v>
      </c>
      <c r="S6">
        <v>943.17100000000005</v>
      </c>
      <c r="T6">
        <v>158.65</v>
      </c>
      <c r="U6">
        <v>122.67100000000001</v>
      </c>
      <c r="V6">
        <v>415.54500000000002</v>
      </c>
      <c r="W6">
        <v>246.30500000000001</v>
      </c>
      <c r="Y6">
        <v>4708.4089999999997</v>
      </c>
      <c r="AA6">
        <v>1425.963</v>
      </c>
      <c r="AB6">
        <v>252.57599999999999</v>
      </c>
      <c r="AC6">
        <v>2276.7530000000002</v>
      </c>
      <c r="AD6">
        <v>753.11699999999996</v>
      </c>
      <c r="AF6">
        <v>37569.866000000002</v>
      </c>
      <c r="AH6">
        <v>869.61699999999996</v>
      </c>
      <c r="AI6">
        <v>1476.1969999999999</v>
      </c>
      <c r="AJ6">
        <v>352.96100000000001</v>
      </c>
      <c r="AK6">
        <v>164.155</v>
      </c>
      <c r="AL6">
        <v>34.267000000000003</v>
      </c>
      <c r="AM6">
        <v>44.173999999999999</v>
      </c>
      <c r="AN6">
        <v>21.51</v>
      </c>
      <c r="AO6">
        <v>64.203999999999994</v>
      </c>
      <c r="AP6">
        <v>1167.204</v>
      </c>
      <c r="AQ6">
        <v>265.12700000000001</v>
      </c>
      <c r="AR6">
        <v>267.62700000000001</v>
      </c>
      <c r="AS6">
        <v>141.06800000000001</v>
      </c>
      <c r="AT6">
        <v>468.101</v>
      </c>
      <c r="AU6">
        <v>25.28</v>
      </c>
      <c r="AV6">
        <v>1045.037</v>
      </c>
      <c r="AW6">
        <v>912.48599999999999</v>
      </c>
      <c r="AX6">
        <v>104.82</v>
      </c>
      <c r="AY6">
        <v>27.731000000000002</v>
      </c>
      <c r="AZ6">
        <v>1817.4010000000001</v>
      </c>
      <c r="BA6">
        <v>89.894999999999996</v>
      </c>
      <c r="BB6">
        <v>1066.443</v>
      </c>
      <c r="BC6">
        <v>580.875</v>
      </c>
      <c r="BD6">
        <v>80.188999999999993</v>
      </c>
      <c r="BE6">
        <v>616.58699999999999</v>
      </c>
      <c r="BF6">
        <v>229.64</v>
      </c>
      <c r="BG6">
        <v>182.58500000000001</v>
      </c>
      <c r="BH6">
        <v>64.488</v>
      </c>
      <c r="BI6">
        <v>36.299999999999997</v>
      </c>
      <c r="BJ6">
        <v>85.597999999999999</v>
      </c>
      <c r="BK6">
        <v>17.977</v>
      </c>
    </row>
    <row r="7" spans="1:63" x14ac:dyDescent="0.2">
      <c r="A7">
        <v>1963</v>
      </c>
      <c r="B7">
        <v>8409.3439999999991</v>
      </c>
      <c r="C7">
        <v>2209.2800000000002</v>
      </c>
      <c r="D7">
        <v>4416.1229999999996</v>
      </c>
      <c r="E7">
        <v>4756.5039999999999</v>
      </c>
      <c r="F7">
        <v>3025.4389999999999</v>
      </c>
      <c r="G7">
        <v>828.85599999999999</v>
      </c>
      <c r="H7">
        <v>3926.107</v>
      </c>
      <c r="I7">
        <v>205.31</v>
      </c>
      <c r="J7">
        <v>2827.6489999999999</v>
      </c>
      <c r="K7">
        <v>218.90299999999999</v>
      </c>
      <c r="L7">
        <v>2170.431</v>
      </c>
      <c r="M7">
        <v>2800.6030000000001</v>
      </c>
      <c r="N7">
        <v>82.7</v>
      </c>
      <c r="P7">
        <v>35877.247000000003</v>
      </c>
      <c r="Q7">
        <v>35497.78</v>
      </c>
      <c r="S7">
        <v>1044.135</v>
      </c>
      <c r="T7">
        <v>164.64500000000001</v>
      </c>
      <c r="U7">
        <v>136.80000000000001</v>
      </c>
      <c r="V7">
        <v>486.85399999999998</v>
      </c>
      <c r="W7">
        <v>255.83699999999999</v>
      </c>
      <c r="Y7">
        <v>5449.7759999999998</v>
      </c>
      <c r="AA7">
        <v>1721.7819999999999</v>
      </c>
      <c r="AB7">
        <v>285.85700000000003</v>
      </c>
      <c r="AC7">
        <v>2577.623</v>
      </c>
      <c r="AD7">
        <v>864.51300000000003</v>
      </c>
      <c r="AF7">
        <v>42371.158000000003</v>
      </c>
      <c r="AH7">
        <v>1039.5</v>
      </c>
      <c r="AI7">
        <v>1770.482</v>
      </c>
      <c r="AJ7">
        <v>415.58600000000001</v>
      </c>
      <c r="AK7">
        <v>191.04300000000001</v>
      </c>
      <c r="AL7">
        <v>41.447000000000003</v>
      </c>
      <c r="AM7">
        <v>50.1</v>
      </c>
      <c r="AN7">
        <v>26.02</v>
      </c>
      <c r="AO7">
        <v>73.475999999999999</v>
      </c>
      <c r="AP7">
        <v>1339.8920000000001</v>
      </c>
      <c r="AQ7">
        <v>306.846</v>
      </c>
      <c r="AR7">
        <v>296.02100000000002</v>
      </c>
      <c r="AS7">
        <v>179.38399999999999</v>
      </c>
      <c r="AT7">
        <v>527.07100000000003</v>
      </c>
      <c r="AU7">
        <v>30.57</v>
      </c>
      <c r="AV7">
        <v>1245.1099999999999</v>
      </c>
      <c r="AW7">
        <v>1109.7950000000001</v>
      </c>
      <c r="AX7">
        <v>105.89100000000001</v>
      </c>
      <c r="AY7">
        <v>29.423999999999999</v>
      </c>
      <c r="AZ7">
        <v>2022.1</v>
      </c>
      <c r="BA7">
        <v>100.592</v>
      </c>
      <c r="BB7">
        <v>1164.2539999999999</v>
      </c>
      <c r="BC7">
        <v>662.95799999999997</v>
      </c>
      <c r="BD7">
        <v>94.296000000000006</v>
      </c>
      <c r="BE7">
        <v>658.89700000000005</v>
      </c>
      <c r="BF7">
        <v>253.21</v>
      </c>
      <c r="BG7">
        <v>193.31700000000001</v>
      </c>
      <c r="BH7">
        <v>64.156999999999996</v>
      </c>
      <c r="BI7">
        <v>37.81</v>
      </c>
      <c r="BJ7">
        <v>88.92</v>
      </c>
      <c r="BK7">
        <v>21.483000000000001</v>
      </c>
    </row>
    <row r="8" spans="1:63" x14ac:dyDescent="0.2">
      <c r="A8">
        <v>1964</v>
      </c>
      <c r="B8">
        <v>8948.991</v>
      </c>
      <c r="C8">
        <v>2379.7530000000002</v>
      </c>
      <c r="D8">
        <v>4726.3630000000003</v>
      </c>
      <c r="E8">
        <v>5233.4250000000002</v>
      </c>
      <c r="F8">
        <v>3328.973</v>
      </c>
      <c r="G8">
        <v>905.60500000000002</v>
      </c>
      <c r="H8">
        <v>4284.8050000000003</v>
      </c>
      <c r="I8">
        <v>226.45400000000001</v>
      </c>
      <c r="J8">
        <v>3166.59</v>
      </c>
      <c r="K8">
        <v>240.48</v>
      </c>
      <c r="L8">
        <v>2355.1889999999999</v>
      </c>
      <c r="M8">
        <v>3212.23</v>
      </c>
      <c r="N8">
        <v>92.679000000000002</v>
      </c>
      <c r="P8">
        <v>39101.538</v>
      </c>
      <c r="Q8">
        <v>38637.201000000001</v>
      </c>
      <c r="S8">
        <v>1155.3</v>
      </c>
      <c r="T8">
        <v>179.583</v>
      </c>
      <c r="U8">
        <v>145.99</v>
      </c>
      <c r="V8">
        <v>550.79200000000003</v>
      </c>
      <c r="W8">
        <v>278.93400000000003</v>
      </c>
      <c r="Y8">
        <v>6184.2669999999998</v>
      </c>
      <c r="AA8">
        <v>2050.6729999999998</v>
      </c>
      <c r="AB8">
        <v>312.83199999999999</v>
      </c>
      <c r="AC8">
        <v>2821.6419999999998</v>
      </c>
      <c r="AD8">
        <v>999.12</v>
      </c>
      <c r="AF8">
        <v>46441.105000000003</v>
      </c>
      <c r="AH8">
        <v>1173.7429999999999</v>
      </c>
      <c r="AI8">
        <v>2015.585</v>
      </c>
      <c r="AJ8">
        <v>481.08800000000002</v>
      </c>
      <c r="AK8">
        <v>211.20400000000001</v>
      </c>
      <c r="AL8">
        <v>45.713000000000001</v>
      </c>
      <c r="AM8">
        <v>54.649000000000001</v>
      </c>
      <c r="AN8">
        <v>28.69</v>
      </c>
      <c r="AO8">
        <v>82.152000000000001</v>
      </c>
      <c r="AP8">
        <v>1351.8050000000001</v>
      </c>
      <c r="AQ8">
        <v>352.68900000000002</v>
      </c>
      <c r="AR8">
        <v>309.22000000000003</v>
      </c>
      <c r="AS8">
        <v>210.08600000000001</v>
      </c>
      <c r="AT8">
        <v>446.09100000000001</v>
      </c>
      <c r="AU8">
        <v>33.72</v>
      </c>
      <c r="AV8">
        <v>1330.7190000000001</v>
      </c>
      <c r="AW8">
        <v>1199.6890000000001</v>
      </c>
      <c r="AX8">
        <v>99.503</v>
      </c>
      <c r="AY8">
        <v>31.526</v>
      </c>
      <c r="AZ8">
        <v>2252.4699999999998</v>
      </c>
      <c r="BA8">
        <v>110.968</v>
      </c>
      <c r="BB8">
        <v>1292.1610000000001</v>
      </c>
      <c r="BC8">
        <v>743.64099999999996</v>
      </c>
      <c r="BD8">
        <v>105.7</v>
      </c>
      <c r="BE8">
        <v>701.61599999999999</v>
      </c>
      <c r="BF8">
        <v>269.88</v>
      </c>
      <c r="BG8">
        <v>208.715</v>
      </c>
      <c r="BH8">
        <v>69.588999999999999</v>
      </c>
      <c r="BI8">
        <v>39.14</v>
      </c>
      <c r="BJ8">
        <v>90.893000000000001</v>
      </c>
      <c r="BK8">
        <v>23.399000000000001</v>
      </c>
    </row>
    <row r="9" spans="1:63" x14ac:dyDescent="0.2">
      <c r="A9">
        <v>1965</v>
      </c>
      <c r="B9">
        <v>9411.0390000000007</v>
      </c>
      <c r="C9">
        <v>2481.9839999999999</v>
      </c>
      <c r="D9">
        <v>4861.8050000000003</v>
      </c>
      <c r="E9">
        <v>5943.8379999999997</v>
      </c>
      <c r="F9">
        <v>3446.442</v>
      </c>
      <c r="G9">
        <v>943.04600000000005</v>
      </c>
      <c r="H9">
        <v>4595.1869999999999</v>
      </c>
      <c r="I9">
        <v>264.94</v>
      </c>
      <c r="J9">
        <v>3422.2359999999999</v>
      </c>
      <c r="K9">
        <v>260.096</v>
      </c>
      <c r="L9">
        <v>2480.9870000000001</v>
      </c>
      <c r="M9">
        <v>3502.9270000000001</v>
      </c>
      <c r="N9">
        <v>75.655000000000001</v>
      </c>
      <c r="P9">
        <v>41690.182999999997</v>
      </c>
      <c r="Q9">
        <v>41215.239000000001</v>
      </c>
      <c r="S9">
        <v>1251.8889999999999</v>
      </c>
      <c r="T9">
        <v>196.18799999999999</v>
      </c>
      <c r="U9">
        <v>154.37700000000001</v>
      </c>
      <c r="V9">
        <v>596.66800000000001</v>
      </c>
      <c r="W9">
        <v>304.65600000000001</v>
      </c>
      <c r="Y9">
        <v>6766.4120000000003</v>
      </c>
      <c r="AA9">
        <v>2341.2800000000002</v>
      </c>
      <c r="AB9">
        <v>332.44099999999997</v>
      </c>
      <c r="AC9">
        <v>2998.8850000000002</v>
      </c>
      <c r="AD9">
        <v>1093.8050000000001</v>
      </c>
      <c r="AF9">
        <v>49708.483999999997</v>
      </c>
      <c r="AH9">
        <v>1375.2449999999999</v>
      </c>
      <c r="AI9">
        <v>2361.1190000000001</v>
      </c>
      <c r="AJ9">
        <v>529.95299999999997</v>
      </c>
      <c r="AK9">
        <v>234.22200000000001</v>
      </c>
      <c r="AL9">
        <v>52.703000000000003</v>
      </c>
      <c r="AM9">
        <v>58.295999999999999</v>
      </c>
      <c r="AN9">
        <v>33.08</v>
      </c>
      <c r="AO9">
        <v>90.143000000000001</v>
      </c>
      <c r="AP9">
        <v>1443.299</v>
      </c>
      <c r="AQ9">
        <v>374.69400000000002</v>
      </c>
      <c r="AR9">
        <v>334.23399999999998</v>
      </c>
      <c r="AS9">
        <v>244.66</v>
      </c>
      <c r="AT9">
        <v>450.84100000000001</v>
      </c>
      <c r="AU9">
        <v>38.869999999999997</v>
      </c>
      <c r="AV9">
        <v>1379.816</v>
      </c>
      <c r="AW9">
        <v>1253.066</v>
      </c>
      <c r="AX9">
        <v>93.451999999999998</v>
      </c>
      <c r="AY9">
        <v>33.298000000000002</v>
      </c>
      <c r="AZ9">
        <v>2478.7930000000001</v>
      </c>
      <c r="BA9">
        <v>121.702</v>
      </c>
      <c r="BB9">
        <v>1412.3789999999999</v>
      </c>
      <c r="BC9">
        <v>824.67899999999997</v>
      </c>
      <c r="BD9">
        <v>120.033</v>
      </c>
      <c r="BE9">
        <v>736.57799999999997</v>
      </c>
      <c r="BF9">
        <v>276.77999999999997</v>
      </c>
      <c r="BG9">
        <v>224.697</v>
      </c>
      <c r="BH9">
        <v>75.352999999999994</v>
      </c>
      <c r="BI9">
        <v>40.65</v>
      </c>
      <c r="BJ9">
        <v>93.772999999999996</v>
      </c>
      <c r="BK9">
        <v>25.326000000000001</v>
      </c>
    </row>
    <row r="10" spans="1:63" x14ac:dyDescent="0.2">
      <c r="A10">
        <v>1966</v>
      </c>
      <c r="B10">
        <v>10014.923000000001</v>
      </c>
      <c r="C10">
        <v>2571.62</v>
      </c>
      <c r="D10">
        <v>5103.5280000000002</v>
      </c>
      <c r="E10">
        <v>6703.9849999999997</v>
      </c>
      <c r="F10">
        <v>3644.68</v>
      </c>
      <c r="G10">
        <v>1034.049</v>
      </c>
      <c r="H10">
        <v>5085.3429999999998</v>
      </c>
      <c r="I10">
        <v>278.834</v>
      </c>
      <c r="J10">
        <v>3701.991</v>
      </c>
      <c r="K10">
        <v>282.40800000000002</v>
      </c>
      <c r="L10">
        <v>2652.9679999999998</v>
      </c>
      <c r="M10">
        <v>3879.6089999999999</v>
      </c>
      <c r="N10">
        <v>54.796999999999997</v>
      </c>
      <c r="P10">
        <v>45008.733999999997</v>
      </c>
      <c r="Q10">
        <v>44488.904999999999</v>
      </c>
      <c r="S10">
        <v>1314.162</v>
      </c>
      <c r="T10">
        <v>195.928</v>
      </c>
      <c r="U10">
        <v>166.16399999999999</v>
      </c>
      <c r="V10">
        <v>647.66800000000001</v>
      </c>
      <c r="W10">
        <v>304.40100000000001</v>
      </c>
      <c r="Y10">
        <v>7438.7560000000003</v>
      </c>
      <c r="AA10">
        <v>2675.694</v>
      </c>
      <c r="AB10">
        <v>356.072</v>
      </c>
      <c r="AC10">
        <v>3211.6329999999998</v>
      </c>
      <c r="AD10">
        <v>1195.357</v>
      </c>
      <c r="AF10">
        <v>53761.652000000002</v>
      </c>
      <c r="AH10">
        <v>1599.83</v>
      </c>
      <c r="AI10">
        <v>2745.9140000000002</v>
      </c>
      <c r="AJ10">
        <v>589.67999999999995</v>
      </c>
      <c r="AK10">
        <v>260.959</v>
      </c>
      <c r="AL10">
        <v>60.844000000000001</v>
      </c>
      <c r="AM10">
        <v>63.302</v>
      </c>
      <c r="AN10">
        <v>38.19</v>
      </c>
      <c r="AO10">
        <v>98.623999999999995</v>
      </c>
      <c r="AP10">
        <v>1507.6010000000001</v>
      </c>
      <c r="AQ10">
        <v>434.904</v>
      </c>
      <c r="AR10">
        <v>354.25099999999998</v>
      </c>
      <c r="AS10">
        <v>273.70499999999998</v>
      </c>
      <c r="AT10">
        <v>399.86099999999999</v>
      </c>
      <c r="AU10">
        <v>44.88</v>
      </c>
      <c r="AV10">
        <v>1532.3050000000001</v>
      </c>
      <c r="AW10">
        <v>1406.99</v>
      </c>
      <c r="AX10">
        <v>89.319000000000003</v>
      </c>
      <c r="AY10">
        <v>35.996000000000002</v>
      </c>
      <c r="AZ10">
        <v>2771.2910000000002</v>
      </c>
      <c r="BA10">
        <v>136.624</v>
      </c>
      <c r="BB10">
        <v>1563.133</v>
      </c>
      <c r="BC10">
        <v>933.85</v>
      </c>
      <c r="BD10">
        <v>137.685</v>
      </c>
      <c r="BE10">
        <v>781.74699999999996</v>
      </c>
      <c r="BF10">
        <v>291.58999999999997</v>
      </c>
      <c r="BG10">
        <v>233.91300000000001</v>
      </c>
      <c r="BH10">
        <v>88.513000000000005</v>
      </c>
      <c r="BI10">
        <v>42.16</v>
      </c>
      <c r="BJ10">
        <v>96.09</v>
      </c>
      <c r="BK10">
        <v>29.481000000000002</v>
      </c>
    </row>
    <row r="11" spans="1:63" x14ac:dyDescent="0.2">
      <c r="A11">
        <v>1967</v>
      </c>
      <c r="B11">
        <v>10541.656999999999</v>
      </c>
      <c r="C11">
        <v>2700.6039999999998</v>
      </c>
      <c r="D11">
        <v>5328.6559999999999</v>
      </c>
      <c r="E11">
        <v>7785.5169999999998</v>
      </c>
      <c r="F11">
        <v>3887.6219999999998</v>
      </c>
      <c r="G11">
        <v>1112.146</v>
      </c>
      <c r="H11">
        <v>5549.1859999999997</v>
      </c>
      <c r="I11">
        <v>310.33300000000003</v>
      </c>
      <c r="J11">
        <v>4035.6089999999999</v>
      </c>
      <c r="K11">
        <v>296.59100000000001</v>
      </c>
      <c r="L11">
        <v>2833.326</v>
      </c>
      <c r="M11">
        <v>4284.55</v>
      </c>
      <c r="N11">
        <v>75.103999999999999</v>
      </c>
      <c r="P11">
        <v>48740.9</v>
      </c>
      <c r="Q11">
        <v>48146</v>
      </c>
      <c r="S11">
        <v>1361.1289999999999</v>
      </c>
      <c r="T11">
        <v>189.768</v>
      </c>
      <c r="U11">
        <v>178.48099999999999</v>
      </c>
      <c r="V11">
        <v>698.21299999999997</v>
      </c>
      <c r="W11">
        <v>294.66800000000001</v>
      </c>
      <c r="Y11">
        <v>8187.3270000000002</v>
      </c>
      <c r="AA11">
        <v>3000.2959999999998</v>
      </c>
      <c r="AB11">
        <v>383.94</v>
      </c>
      <c r="AC11">
        <v>3456.6570000000002</v>
      </c>
      <c r="AD11">
        <v>1346.4349999999999</v>
      </c>
      <c r="AF11">
        <v>58289.356</v>
      </c>
      <c r="AH11">
        <v>1892.221</v>
      </c>
      <c r="AI11">
        <v>3246.23</v>
      </c>
      <c r="AJ11">
        <v>664.95</v>
      </c>
      <c r="AK11">
        <v>290.61900000000003</v>
      </c>
      <c r="AL11">
        <v>69.706000000000003</v>
      </c>
      <c r="AM11">
        <v>68.316000000000003</v>
      </c>
      <c r="AN11">
        <v>43.75</v>
      </c>
      <c r="AO11">
        <v>108.84699999999999</v>
      </c>
      <c r="AP11">
        <v>1691.4970000000001</v>
      </c>
      <c r="AQ11">
        <v>506.56700000000001</v>
      </c>
      <c r="AR11">
        <v>392.19</v>
      </c>
      <c r="AS11">
        <v>340.089</v>
      </c>
      <c r="AT11">
        <v>401.24099999999999</v>
      </c>
      <c r="AU11">
        <v>51.41</v>
      </c>
      <c r="AV11">
        <v>1598.883</v>
      </c>
      <c r="AW11">
        <v>1468.894</v>
      </c>
      <c r="AX11">
        <v>92.114999999999995</v>
      </c>
      <c r="AY11">
        <v>37.874000000000002</v>
      </c>
      <c r="AZ11">
        <v>3103.444</v>
      </c>
      <c r="BA11">
        <v>152.52500000000001</v>
      </c>
      <c r="BB11">
        <v>1747.27</v>
      </c>
      <c r="BC11">
        <v>1044.424</v>
      </c>
      <c r="BD11">
        <v>159.22399999999999</v>
      </c>
      <c r="BE11">
        <v>846.85900000000004</v>
      </c>
      <c r="BF11">
        <v>307.55</v>
      </c>
      <c r="BG11">
        <v>254.89599999999999</v>
      </c>
      <c r="BH11">
        <v>97.233000000000004</v>
      </c>
      <c r="BI11">
        <v>43.49</v>
      </c>
      <c r="BJ11">
        <v>112.11</v>
      </c>
      <c r="BK11">
        <v>31.581</v>
      </c>
    </row>
    <row r="12" spans="1:63" x14ac:dyDescent="0.2">
      <c r="A12">
        <v>1968</v>
      </c>
      <c r="B12">
        <v>11177.138000000001</v>
      </c>
      <c r="C12">
        <v>2910.567</v>
      </c>
      <c r="D12">
        <v>5654.8590000000004</v>
      </c>
      <c r="E12">
        <v>9007.0939999999991</v>
      </c>
      <c r="F12">
        <v>4274.2290000000003</v>
      </c>
      <c r="G12">
        <v>1146.9860000000001</v>
      </c>
      <c r="H12">
        <v>6147.4440000000004</v>
      </c>
      <c r="I12">
        <v>332.68299999999999</v>
      </c>
      <c r="J12">
        <v>4471.7269999999999</v>
      </c>
      <c r="K12">
        <v>325.78199999999998</v>
      </c>
      <c r="L12">
        <v>2987.1680000000001</v>
      </c>
      <c r="M12">
        <v>4835.518</v>
      </c>
      <c r="N12">
        <v>132.40600000000001</v>
      </c>
      <c r="P12">
        <v>53403.601999999999</v>
      </c>
      <c r="Q12">
        <v>52641.406000000003</v>
      </c>
      <c r="S12">
        <v>1495.61</v>
      </c>
      <c r="T12">
        <v>200.077</v>
      </c>
      <c r="U12">
        <v>210.62799999999999</v>
      </c>
      <c r="V12">
        <v>774.21</v>
      </c>
      <c r="W12">
        <v>310.69499999999999</v>
      </c>
      <c r="Y12">
        <v>9062.384</v>
      </c>
      <c r="AA12">
        <v>3242.5880000000002</v>
      </c>
      <c r="AB12">
        <v>429.09100000000001</v>
      </c>
      <c r="AC12">
        <v>3871.2579999999998</v>
      </c>
      <c r="AD12">
        <v>1519.4469999999999</v>
      </c>
      <c r="AF12">
        <v>63961.595999999998</v>
      </c>
      <c r="AH12">
        <v>2200.6689999999999</v>
      </c>
      <c r="AI12">
        <v>3801.2469999999998</v>
      </c>
      <c r="AJ12">
        <v>735.02499999999998</v>
      </c>
      <c r="AK12">
        <v>333.28199999999998</v>
      </c>
      <c r="AL12">
        <v>84.316000000000003</v>
      </c>
      <c r="AM12">
        <v>74.688999999999993</v>
      </c>
      <c r="AN12">
        <v>52.93</v>
      </c>
      <c r="AO12">
        <v>121.34699999999999</v>
      </c>
      <c r="AP12">
        <v>1936.8710000000001</v>
      </c>
      <c r="AQ12">
        <v>575.48699999999997</v>
      </c>
      <c r="AR12">
        <v>447.142</v>
      </c>
      <c r="AS12">
        <v>470.64</v>
      </c>
      <c r="AT12">
        <v>381.411</v>
      </c>
      <c r="AU12">
        <v>62.19</v>
      </c>
      <c r="AV12">
        <v>1748.7360000000001</v>
      </c>
      <c r="AW12">
        <v>1604.951</v>
      </c>
      <c r="AX12">
        <v>97.983000000000004</v>
      </c>
      <c r="AY12">
        <v>45.802</v>
      </c>
      <c r="AZ12">
        <v>3494.2240000000002</v>
      </c>
      <c r="BA12">
        <v>170.416</v>
      </c>
      <c r="BB12">
        <v>1932.7159999999999</v>
      </c>
      <c r="BC12">
        <v>1195.893</v>
      </c>
      <c r="BD12">
        <v>195.19900000000001</v>
      </c>
      <c r="BE12">
        <v>904.48400000000004</v>
      </c>
      <c r="BF12">
        <v>308.26</v>
      </c>
      <c r="BG12">
        <v>285.89100000000002</v>
      </c>
      <c r="BH12">
        <v>102.324</v>
      </c>
      <c r="BI12">
        <v>43.49</v>
      </c>
      <c r="BJ12">
        <v>125.31</v>
      </c>
      <c r="BK12">
        <v>39.209000000000003</v>
      </c>
    </row>
    <row r="13" spans="1:63" x14ac:dyDescent="0.2">
      <c r="A13">
        <v>1969</v>
      </c>
      <c r="B13">
        <v>12324.156000000001</v>
      </c>
      <c r="C13">
        <v>3179.8519999999999</v>
      </c>
      <c r="D13">
        <v>6339.8289999999997</v>
      </c>
      <c r="E13">
        <v>10596.114</v>
      </c>
      <c r="F13">
        <v>4834.4520000000002</v>
      </c>
      <c r="G13">
        <v>1318.306</v>
      </c>
      <c r="H13">
        <v>7241.8620000000001</v>
      </c>
      <c r="I13">
        <v>437.55900000000003</v>
      </c>
      <c r="J13">
        <v>5044.8729999999996</v>
      </c>
      <c r="K13">
        <v>380.79500000000002</v>
      </c>
      <c r="L13">
        <v>3338.3</v>
      </c>
      <c r="M13">
        <v>5821.4170000000004</v>
      </c>
      <c r="N13">
        <v>37.274000000000001</v>
      </c>
      <c r="P13">
        <v>60894.786999999997</v>
      </c>
      <c r="Q13">
        <v>59774.35</v>
      </c>
      <c r="S13">
        <v>1716.9939999999999</v>
      </c>
      <c r="T13">
        <v>231.267</v>
      </c>
      <c r="U13">
        <v>234.36799999999999</v>
      </c>
      <c r="V13">
        <v>892.04700000000003</v>
      </c>
      <c r="W13">
        <v>359.31099999999998</v>
      </c>
      <c r="Y13">
        <v>10673.173000000001</v>
      </c>
      <c r="AA13">
        <v>4001.7840000000001</v>
      </c>
      <c r="AB13">
        <v>483.00099999999998</v>
      </c>
      <c r="AC13">
        <v>4359.53</v>
      </c>
      <c r="AD13">
        <v>1828.8579999999999</v>
      </c>
      <c r="AF13">
        <v>73284.953999999998</v>
      </c>
      <c r="AH13">
        <v>2660.5889999999999</v>
      </c>
      <c r="AI13">
        <v>4503.6009999999997</v>
      </c>
      <c r="AJ13">
        <v>861.971</v>
      </c>
      <c r="AK13">
        <v>396.31099999999998</v>
      </c>
      <c r="AL13">
        <v>106.366</v>
      </c>
      <c r="AM13">
        <v>84.709000000000003</v>
      </c>
      <c r="AN13">
        <v>66.77</v>
      </c>
      <c r="AO13">
        <v>138.465</v>
      </c>
      <c r="AP13">
        <v>2173.6419999999998</v>
      </c>
      <c r="AQ13">
        <v>661.67700000000002</v>
      </c>
      <c r="AR13">
        <v>498.577</v>
      </c>
      <c r="AS13">
        <v>562.75699999999995</v>
      </c>
      <c r="AT13">
        <v>372.18099999999998</v>
      </c>
      <c r="AU13">
        <v>78.45</v>
      </c>
      <c r="AV13">
        <v>2143.3679999999999</v>
      </c>
      <c r="AW13">
        <v>1974.07</v>
      </c>
      <c r="AX13">
        <v>110.636</v>
      </c>
      <c r="AY13">
        <v>58.661999999999999</v>
      </c>
      <c r="AZ13">
        <v>4069.451</v>
      </c>
      <c r="BA13">
        <v>201.07499999999999</v>
      </c>
      <c r="BB13">
        <v>2230.527</v>
      </c>
      <c r="BC13">
        <v>1385.251</v>
      </c>
      <c r="BD13">
        <v>252.59700000000001</v>
      </c>
      <c r="BE13">
        <v>1029.0429999999999</v>
      </c>
      <c r="BF13">
        <v>350.97</v>
      </c>
      <c r="BG13">
        <v>315.72300000000001</v>
      </c>
      <c r="BH13">
        <v>133.255</v>
      </c>
      <c r="BI13">
        <v>50.67</v>
      </c>
      <c r="BJ13">
        <v>134.61000000000001</v>
      </c>
      <c r="BK13">
        <v>43.814</v>
      </c>
    </row>
    <row r="14" spans="1:63" x14ac:dyDescent="0.2">
      <c r="A14">
        <v>1970</v>
      </c>
      <c r="B14">
        <v>13185.791999999999</v>
      </c>
      <c r="C14">
        <v>3406.442</v>
      </c>
      <c r="D14">
        <v>6775.3379999999997</v>
      </c>
      <c r="E14">
        <v>12071.614</v>
      </c>
      <c r="F14">
        <v>5194.384</v>
      </c>
      <c r="G14">
        <v>1458.8440000000001</v>
      </c>
      <c r="H14">
        <v>8042.6869999999999</v>
      </c>
      <c r="I14">
        <v>508.55399999999997</v>
      </c>
      <c r="J14">
        <v>5574.8249999999998</v>
      </c>
      <c r="K14">
        <v>432.73899999999998</v>
      </c>
      <c r="L14">
        <v>3701.5410000000002</v>
      </c>
      <c r="M14">
        <v>6564.7560000000003</v>
      </c>
      <c r="N14">
        <v>-67.819000000000003</v>
      </c>
      <c r="P14">
        <v>66849.695999999996</v>
      </c>
      <c r="Q14">
        <v>65485.254999999997</v>
      </c>
      <c r="S14">
        <v>1982.288</v>
      </c>
      <c r="T14">
        <v>277.55</v>
      </c>
      <c r="U14">
        <v>264.54599999999999</v>
      </c>
      <c r="V14">
        <v>1025.6389999999999</v>
      </c>
      <c r="W14">
        <v>414.553</v>
      </c>
      <c r="Y14">
        <v>12153.931</v>
      </c>
      <c r="AA14">
        <v>4640.4870000000001</v>
      </c>
      <c r="AB14">
        <v>538.76800000000003</v>
      </c>
      <c r="AC14">
        <v>4863.9139999999998</v>
      </c>
      <c r="AD14">
        <v>2110.7629999999999</v>
      </c>
      <c r="AF14">
        <v>80985.914999999994</v>
      </c>
      <c r="AH14">
        <v>3013.598</v>
      </c>
      <c r="AI14">
        <v>5136.7330000000002</v>
      </c>
      <c r="AJ14">
        <v>992.12099999999998</v>
      </c>
      <c r="AK14">
        <v>468.15499999999997</v>
      </c>
      <c r="AL14">
        <v>135.40600000000001</v>
      </c>
      <c r="AM14">
        <v>93.361999999999995</v>
      </c>
      <c r="AN14">
        <v>84.99</v>
      </c>
      <c r="AO14">
        <v>154.39699999999999</v>
      </c>
      <c r="AP14">
        <v>2461.0070000000001</v>
      </c>
      <c r="AQ14">
        <v>761.61300000000006</v>
      </c>
      <c r="AR14">
        <v>558.75099999999998</v>
      </c>
      <c r="AS14">
        <v>660.12199999999996</v>
      </c>
      <c r="AT14">
        <v>381.48099999999999</v>
      </c>
      <c r="AU14">
        <v>99.04</v>
      </c>
      <c r="AV14">
        <v>2346.098</v>
      </c>
      <c r="AW14">
        <v>2168.605</v>
      </c>
      <c r="AX14">
        <v>126.38200000000001</v>
      </c>
      <c r="AY14">
        <v>51.110999999999997</v>
      </c>
      <c r="AZ14">
        <v>4544.7070000000003</v>
      </c>
      <c r="BA14">
        <v>223.672</v>
      </c>
      <c r="BB14">
        <v>2471.1030000000001</v>
      </c>
      <c r="BC14">
        <v>1548.9960000000001</v>
      </c>
      <c r="BD14">
        <v>300.93700000000001</v>
      </c>
      <c r="BE14">
        <v>1151.8820000000001</v>
      </c>
      <c r="BF14">
        <v>387.39</v>
      </c>
      <c r="BG14">
        <v>346.57600000000002</v>
      </c>
      <c r="BH14">
        <v>163.69499999999999</v>
      </c>
      <c r="BI14">
        <v>55.17</v>
      </c>
      <c r="BJ14">
        <v>148.39500000000001</v>
      </c>
      <c r="BK14">
        <v>50.655999999999999</v>
      </c>
    </row>
    <row r="15" spans="1:63" x14ac:dyDescent="0.2">
      <c r="A15">
        <v>1971</v>
      </c>
      <c r="B15">
        <v>14248.332</v>
      </c>
      <c r="C15">
        <v>3681.2</v>
      </c>
      <c r="D15">
        <v>7309.7420000000002</v>
      </c>
      <c r="E15">
        <v>13548.438</v>
      </c>
      <c r="F15">
        <v>5893.5230000000001</v>
      </c>
      <c r="G15">
        <v>1636.806</v>
      </c>
      <c r="H15">
        <v>9290.1170000000002</v>
      </c>
      <c r="I15">
        <v>607.95600000000002</v>
      </c>
      <c r="J15">
        <v>6282.1440000000002</v>
      </c>
      <c r="K15">
        <v>521.46199999999999</v>
      </c>
      <c r="L15">
        <v>4168.6490000000003</v>
      </c>
      <c r="M15">
        <v>7538.5609999999997</v>
      </c>
      <c r="N15">
        <v>-133.22399999999999</v>
      </c>
      <c r="P15">
        <v>74593.706000000006</v>
      </c>
      <c r="Q15">
        <v>73028.520999999993</v>
      </c>
      <c r="S15">
        <v>2233.364</v>
      </c>
      <c r="T15">
        <v>314.12099999999998</v>
      </c>
      <c r="U15">
        <v>286.59199999999998</v>
      </c>
      <c r="V15">
        <v>1163.557</v>
      </c>
      <c r="W15">
        <v>469.09399999999999</v>
      </c>
      <c r="Y15">
        <v>13883.641</v>
      </c>
      <c r="AA15">
        <v>5407.0410000000002</v>
      </c>
      <c r="AB15">
        <v>604.45600000000002</v>
      </c>
      <c r="AC15">
        <v>5459.598</v>
      </c>
      <c r="AD15">
        <v>2412.5459999999998</v>
      </c>
      <c r="AF15">
        <v>90710.710999999996</v>
      </c>
      <c r="AH15">
        <v>3332.7260000000001</v>
      </c>
      <c r="AI15">
        <v>5732.12</v>
      </c>
      <c r="AJ15">
        <v>1133.71</v>
      </c>
      <c r="AK15">
        <v>532.83900000000006</v>
      </c>
      <c r="AL15">
        <v>159.429</v>
      </c>
      <c r="AM15">
        <v>103.837</v>
      </c>
      <c r="AN15">
        <v>100.07</v>
      </c>
      <c r="AO15">
        <v>169.50200000000001</v>
      </c>
      <c r="AP15">
        <v>2817.0430000000001</v>
      </c>
      <c r="AQ15">
        <v>866.89499999999998</v>
      </c>
      <c r="AR15">
        <v>646.06100000000004</v>
      </c>
      <c r="AS15">
        <v>847.947</v>
      </c>
      <c r="AT15">
        <v>348.92</v>
      </c>
      <c r="AU15">
        <v>107.22</v>
      </c>
      <c r="AV15">
        <v>2847.4839999999999</v>
      </c>
      <c r="AW15">
        <v>2628.6390000000001</v>
      </c>
      <c r="AX15">
        <v>161.72999999999999</v>
      </c>
      <c r="AY15">
        <v>57.115000000000002</v>
      </c>
      <c r="AZ15">
        <v>5178.9350000000004</v>
      </c>
      <c r="BA15">
        <v>256.63799999999998</v>
      </c>
      <c r="BB15">
        <v>2809.0140000000001</v>
      </c>
      <c r="BC15">
        <v>1768.902</v>
      </c>
      <c r="BD15">
        <v>344.38099999999997</v>
      </c>
      <c r="BE15">
        <v>1263.6980000000001</v>
      </c>
      <c r="BF15">
        <v>408.41</v>
      </c>
      <c r="BG15">
        <v>388.827</v>
      </c>
      <c r="BH15">
        <v>192.65100000000001</v>
      </c>
      <c r="BI15">
        <v>60.11</v>
      </c>
      <c r="BJ15">
        <v>154.38800000000001</v>
      </c>
      <c r="BK15">
        <v>59.311999999999998</v>
      </c>
    </row>
    <row r="16" spans="1:63" x14ac:dyDescent="0.2">
      <c r="A16">
        <v>1972</v>
      </c>
      <c r="B16">
        <v>15689.982</v>
      </c>
      <c r="C16">
        <v>4019.6779999999999</v>
      </c>
      <c r="D16">
        <v>7901.9960000000001</v>
      </c>
      <c r="E16">
        <v>15037.03</v>
      </c>
      <c r="F16">
        <v>6620.1959999999999</v>
      </c>
      <c r="G16">
        <v>1829.5609999999999</v>
      </c>
      <c r="H16">
        <v>10600.24</v>
      </c>
      <c r="I16">
        <v>670.59799999999996</v>
      </c>
      <c r="J16">
        <v>7231.2510000000002</v>
      </c>
      <c r="K16">
        <v>594.70600000000002</v>
      </c>
      <c r="L16">
        <v>4635.63</v>
      </c>
      <c r="M16">
        <v>8339.8639999999996</v>
      </c>
      <c r="N16">
        <v>-124.575</v>
      </c>
      <c r="P16">
        <v>83046.157000000007</v>
      </c>
      <c r="Q16">
        <v>81422.216</v>
      </c>
      <c r="S16">
        <v>2498.942</v>
      </c>
      <c r="T16">
        <v>353.21800000000002</v>
      </c>
      <c r="U16">
        <v>308.65699999999998</v>
      </c>
      <c r="V16">
        <v>1309.569</v>
      </c>
      <c r="W16">
        <v>527.49800000000005</v>
      </c>
      <c r="Y16">
        <v>15575.73</v>
      </c>
      <c r="AA16">
        <v>6180.7650000000003</v>
      </c>
      <c r="AB16">
        <v>666.63499999999999</v>
      </c>
      <c r="AC16">
        <v>6025.7179999999998</v>
      </c>
      <c r="AD16">
        <v>2702.6129999999998</v>
      </c>
      <c r="AF16">
        <v>101120.83</v>
      </c>
      <c r="AH16">
        <v>3702.3319999999999</v>
      </c>
      <c r="AI16">
        <v>6381.73</v>
      </c>
      <c r="AJ16">
        <v>1237.492</v>
      </c>
      <c r="AK16">
        <v>614.15599999999995</v>
      </c>
      <c r="AL16">
        <v>190.18199999999999</v>
      </c>
      <c r="AM16">
        <v>115.681</v>
      </c>
      <c r="AN16">
        <v>119.37</v>
      </c>
      <c r="AO16">
        <v>188.92400000000001</v>
      </c>
      <c r="AP16">
        <v>3101.32</v>
      </c>
      <c r="AQ16">
        <v>999.53899999999999</v>
      </c>
      <c r="AR16">
        <v>717.40300000000002</v>
      </c>
      <c r="AS16">
        <v>937.85799999999995</v>
      </c>
      <c r="AT16">
        <v>329.47</v>
      </c>
      <c r="AU16">
        <v>117.05</v>
      </c>
      <c r="AV16">
        <v>3430.1860000000001</v>
      </c>
      <c r="AW16">
        <v>3173.4690000000001</v>
      </c>
      <c r="AX16">
        <v>185.82300000000001</v>
      </c>
      <c r="AY16">
        <v>70.894000000000005</v>
      </c>
      <c r="AZ16">
        <v>5749.8729999999996</v>
      </c>
      <c r="BA16">
        <v>287.31700000000001</v>
      </c>
      <c r="BB16">
        <v>3112.4070000000002</v>
      </c>
      <c r="BC16">
        <v>1947.0640000000001</v>
      </c>
      <c r="BD16">
        <v>403.08499999999998</v>
      </c>
      <c r="BE16">
        <v>1420.181</v>
      </c>
      <c r="BF16">
        <v>447.41</v>
      </c>
      <c r="BG16">
        <v>430.74900000000002</v>
      </c>
      <c r="BH16">
        <v>233.77600000000001</v>
      </c>
      <c r="BI16">
        <v>67.010000000000005</v>
      </c>
      <c r="BJ16">
        <v>169.43299999999999</v>
      </c>
      <c r="BK16">
        <v>71.804000000000002</v>
      </c>
    </row>
    <row r="17" spans="1:63" x14ac:dyDescent="0.2">
      <c r="A17">
        <v>1973</v>
      </c>
      <c r="B17">
        <v>17369.424999999999</v>
      </c>
      <c r="C17">
        <v>4598.4759999999997</v>
      </c>
      <c r="D17">
        <v>8594.9490000000005</v>
      </c>
      <c r="E17">
        <v>16801.057000000001</v>
      </c>
      <c r="F17">
        <v>7597.1620000000003</v>
      </c>
      <c r="G17">
        <v>2084.634</v>
      </c>
      <c r="H17">
        <v>11977.369000000001</v>
      </c>
      <c r="I17">
        <v>781.19500000000005</v>
      </c>
      <c r="J17">
        <v>8199.6489999999994</v>
      </c>
      <c r="K17">
        <v>614.79600000000005</v>
      </c>
      <c r="L17">
        <v>5178.8249999999998</v>
      </c>
      <c r="M17">
        <v>10283.121999999999</v>
      </c>
      <c r="N17">
        <v>-29.53</v>
      </c>
      <c r="P17">
        <v>94051.126000000004</v>
      </c>
      <c r="Q17">
        <v>91611.941999999995</v>
      </c>
      <c r="S17">
        <v>2851.078</v>
      </c>
      <c r="T17">
        <v>403.59500000000003</v>
      </c>
      <c r="U17">
        <v>345.50700000000001</v>
      </c>
      <c r="V17">
        <v>1499.202</v>
      </c>
      <c r="W17">
        <v>602.774</v>
      </c>
      <c r="Y17">
        <v>18311.508999999998</v>
      </c>
      <c r="Z17">
        <v>389.923</v>
      </c>
      <c r="AA17">
        <v>7136.1109999999999</v>
      </c>
      <c r="AB17">
        <v>755.53399999999999</v>
      </c>
      <c r="AC17">
        <v>6830.875</v>
      </c>
      <c r="AD17">
        <v>3199.0650000000001</v>
      </c>
      <c r="AF17">
        <v>115213.713</v>
      </c>
      <c r="AH17">
        <v>3801.1790000000001</v>
      </c>
      <c r="AI17">
        <v>7379.5870000000004</v>
      </c>
      <c r="AJ17">
        <v>1405.7539999999999</v>
      </c>
      <c r="AK17">
        <v>712.39099999999996</v>
      </c>
      <c r="AL17">
        <v>224.50899999999999</v>
      </c>
      <c r="AM17">
        <v>130.70599999999999</v>
      </c>
      <c r="AN17">
        <v>140.91999999999999</v>
      </c>
      <c r="AO17">
        <v>216.256</v>
      </c>
      <c r="AP17">
        <v>3502.145</v>
      </c>
      <c r="AQ17">
        <v>1153.7280000000001</v>
      </c>
      <c r="AR17">
        <v>814.1</v>
      </c>
      <c r="AS17">
        <v>1083.4570000000001</v>
      </c>
      <c r="AT17">
        <v>325.63</v>
      </c>
      <c r="AU17">
        <v>125.23</v>
      </c>
      <c r="AV17">
        <v>3916.8649999999998</v>
      </c>
      <c r="AW17">
        <v>3605.6019999999999</v>
      </c>
      <c r="AX17">
        <v>226.56899999999999</v>
      </c>
      <c r="AY17">
        <v>84.694000000000003</v>
      </c>
      <c r="AZ17">
        <v>6500.86</v>
      </c>
      <c r="BA17">
        <v>321.702</v>
      </c>
      <c r="BB17">
        <v>3522.645</v>
      </c>
      <c r="BC17">
        <v>2186.625</v>
      </c>
      <c r="BD17">
        <v>469.88799999999998</v>
      </c>
      <c r="BE17">
        <v>1559.644</v>
      </c>
      <c r="BF17">
        <v>474.72</v>
      </c>
      <c r="BG17">
        <v>486.32</v>
      </c>
      <c r="BH17">
        <v>271.78300000000002</v>
      </c>
      <c r="BI17">
        <v>66.849999999999994</v>
      </c>
      <c r="BJ17">
        <v>173.88</v>
      </c>
      <c r="BK17">
        <v>86.090999999999994</v>
      </c>
    </row>
    <row r="18" spans="1:63" x14ac:dyDescent="0.2">
      <c r="A18">
        <v>1974</v>
      </c>
      <c r="B18">
        <v>20042.567999999999</v>
      </c>
      <c r="C18">
        <v>5059.9179999999997</v>
      </c>
      <c r="D18">
        <v>9781.4290000000001</v>
      </c>
      <c r="E18">
        <v>19576.593000000001</v>
      </c>
      <c r="F18">
        <v>9053.4240000000009</v>
      </c>
      <c r="G18">
        <v>2380.7829999999999</v>
      </c>
      <c r="H18">
        <v>13864.505999999999</v>
      </c>
      <c r="I18">
        <v>965.27599999999995</v>
      </c>
      <c r="J18">
        <v>9715.2870000000003</v>
      </c>
      <c r="K18">
        <v>701.20699999999999</v>
      </c>
      <c r="L18">
        <v>5928.7460000000001</v>
      </c>
      <c r="M18">
        <v>13564.52</v>
      </c>
      <c r="N18">
        <v>-9.8829999999999991</v>
      </c>
      <c r="P18">
        <v>110624.375</v>
      </c>
      <c r="Q18">
        <v>106482.906</v>
      </c>
      <c r="S18">
        <v>3244.7510000000002</v>
      </c>
      <c r="T18">
        <v>462.21</v>
      </c>
      <c r="U18">
        <v>382.36700000000002</v>
      </c>
      <c r="V18">
        <v>1709.836</v>
      </c>
      <c r="W18">
        <v>690.33799999999997</v>
      </c>
      <c r="Y18">
        <v>21807.05</v>
      </c>
      <c r="Z18">
        <v>582.83199999999999</v>
      </c>
      <c r="AA18">
        <v>8454.3889999999992</v>
      </c>
      <c r="AB18">
        <v>894.27499999999998</v>
      </c>
      <c r="AC18">
        <v>8095.634</v>
      </c>
      <c r="AD18">
        <v>3779.92</v>
      </c>
      <c r="AF18">
        <v>135676.17600000001</v>
      </c>
      <c r="AH18">
        <v>4063.1959999999999</v>
      </c>
      <c r="AI18">
        <v>8331.5750000000007</v>
      </c>
      <c r="AJ18">
        <v>1718.643</v>
      </c>
      <c r="AK18">
        <v>849.654</v>
      </c>
      <c r="AL18">
        <v>268.62</v>
      </c>
      <c r="AM18">
        <v>152.114</v>
      </c>
      <c r="AN18">
        <v>168.61</v>
      </c>
      <c r="AO18">
        <v>260.31</v>
      </c>
      <c r="AP18">
        <v>4613.5249999999996</v>
      </c>
      <c r="AQ18">
        <v>1408.463</v>
      </c>
      <c r="AR18">
        <v>990.16700000000003</v>
      </c>
      <c r="AS18">
        <v>1600.085</v>
      </c>
      <c r="AT18">
        <v>408.12</v>
      </c>
      <c r="AU18">
        <v>206.69</v>
      </c>
      <c r="AV18">
        <v>3900.3580000000002</v>
      </c>
      <c r="AW18">
        <v>3500.0279999999998</v>
      </c>
      <c r="AX18">
        <v>272.96899999999999</v>
      </c>
      <c r="AY18">
        <v>127.361</v>
      </c>
      <c r="AZ18">
        <v>8151.7430000000004</v>
      </c>
      <c r="BA18">
        <v>390.23</v>
      </c>
      <c r="BB18">
        <v>4627.6540000000005</v>
      </c>
      <c r="BC18">
        <v>2556.46</v>
      </c>
      <c r="BD18">
        <v>577.399</v>
      </c>
      <c r="BE18">
        <v>1812.4059999999999</v>
      </c>
      <c r="BF18">
        <v>532.29999999999995</v>
      </c>
      <c r="BG18">
        <v>575.89400000000001</v>
      </c>
      <c r="BH18">
        <v>320.63499999999999</v>
      </c>
      <c r="BI18">
        <v>76.61</v>
      </c>
      <c r="BJ18">
        <v>187.74799999999999</v>
      </c>
      <c r="BK18">
        <v>119.21899999999999</v>
      </c>
    </row>
    <row r="19" spans="1:63" x14ac:dyDescent="0.2">
      <c r="A19">
        <v>1975</v>
      </c>
      <c r="B19">
        <v>22664.138999999999</v>
      </c>
      <c r="C19">
        <v>5528.6809999999996</v>
      </c>
      <c r="D19">
        <v>11211.195</v>
      </c>
      <c r="E19">
        <v>22476.913</v>
      </c>
      <c r="F19">
        <v>10064.308000000001</v>
      </c>
      <c r="G19">
        <v>2874.87</v>
      </c>
      <c r="H19">
        <v>16298.069</v>
      </c>
      <c r="I19">
        <v>1412.962</v>
      </c>
      <c r="J19">
        <v>11316.227000000001</v>
      </c>
      <c r="K19">
        <v>732.89599999999996</v>
      </c>
      <c r="L19">
        <v>6951.6660000000002</v>
      </c>
      <c r="M19">
        <v>14455.994000000001</v>
      </c>
      <c r="N19">
        <v>-17.265999999999998</v>
      </c>
      <c r="P19">
        <v>125970.655</v>
      </c>
      <c r="Q19">
        <v>122437.967</v>
      </c>
      <c r="S19">
        <v>3694.2350000000001</v>
      </c>
      <c r="T19">
        <v>523.053</v>
      </c>
      <c r="U19">
        <v>454.42200000000003</v>
      </c>
      <c r="V19">
        <v>1935.7180000000001</v>
      </c>
      <c r="W19">
        <v>781.04300000000001</v>
      </c>
      <c r="Y19">
        <v>26897.329000000002</v>
      </c>
      <c r="Z19">
        <v>668.8</v>
      </c>
      <c r="AA19">
        <v>10552.913</v>
      </c>
      <c r="AB19">
        <v>1077.0360000000001</v>
      </c>
      <c r="AC19">
        <v>9759.1790000000001</v>
      </c>
      <c r="AD19">
        <v>4839.3999999999996</v>
      </c>
      <c r="AF19">
        <v>156562.21900000001</v>
      </c>
      <c r="AH19">
        <v>4679.0249999999996</v>
      </c>
      <c r="AI19">
        <v>9621.8619999999992</v>
      </c>
      <c r="AJ19">
        <v>1805.5409999999999</v>
      </c>
      <c r="AK19">
        <v>1000.059</v>
      </c>
      <c r="AL19">
        <v>318.41800000000001</v>
      </c>
      <c r="AM19">
        <v>174.42400000000001</v>
      </c>
      <c r="AN19">
        <v>199.86</v>
      </c>
      <c r="AO19">
        <v>307.35700000000003</v>
      </c>
      <c r="AP19">
        <v>5370.4260000000004</v>
      </c>
      <c r="AQ19">
        <v>1786.8219999999999</v>
      </c>
      <c r="AR19">
        <v>1242.682</v>
      </c>
      <c r="AS19">
        <v>1678.492</v>
      </c>
      <c r="AT19">
        <v>413.29</v>
      </c>
      <c r="AU19">
        <v>249.14</v>
      </c>
      <c r="AV19">
        <v>4883.4089999999997</v>
      </c>
      <c r="AW19">
        <v>4478.817</v>
      </c>
      <c r="AX19">
        <v>271.45800000000003</v>
      </c>
      <c r="AY19">
        <v>133.13300000000001</v>
      </c>
      <c r="AZ19">
        <v>9319.2469999999994</v>
      </c>
      <c r="BA19">
        <v>446.80799999999999</v>
      </c>
      <c r="BB19">
        <v>5108.9679999999998</v>
      </c>
      <c r="BC19">
        <v>3038.886</v>
      </c>
      <c r="BD19">
        <v>724.58500000000004</v>
      </c>
      <c r="BE19">
        <v>2095.413</v>
      </c>
      <c r="BF19">
        <v>600.72</v>
      </c>
      <c r="BG19">
        <v>658.61199999999997</v>
      </c>
      <c r="BH19">
        <v>378.05599999999998</v>
      </c>
      <c r="BI19">
        <v>92.86</v>
      </c>
      <c r="BJ19">
        <v>216.45</v>
      </c>
      <c r="BK19">
        <v>148.715</v>
      </c>
    </row>
    <row r="20" spans="1:63" x14ac:dyDescent="0.2">
      <c r="A20">
        <v>1976</v>
      </c>
      <c r="B20">
        <v>25325.845000000001</v>
      </c>
      <c r="C20">
        <v>6048.1840000000002</v>
      </c>
      <c r="D20">
        <v>12454.862999999999</v>
      </c>
      <c r="E20">
        <v>26190.857</v>
      </c>
      <c r="F20">
        <v>11338.634</v>
      </c>
      <c r="G20">
        <v>3206.24</v>
      </c>
      <c r="H20">
        <v>20450.984</v>
      </c>
      <c r="I20">
        <v>1926.1769999999999</v>
      </c>
      <c r="J20">
        <v>13129.08</v>
      </c>
      <c r="K20">
        <v>677.36199999999997</v>
      </c>
      <c r="L20">
        <v>8109.1679999999997</v>
      </c>
      <c r="M20">
        <v>16658.310000000001</v>
      </c>
      <c r="N20">
        <v>155.023</v>
      </c>
      <c r="P20">
        <v>145670.72700000001</v>
      </c>
      <c r="Q20">
        <v>141512.94200000001</v>
      </c>
      <c r="S20">
        <v>4207.8500000000004</v>
      </c>
      <c r="T20">
        <v>596.346</v>
      </c>
      <c r="U20">
        <v>516.56100000000004</v>
      </c>
      <c r="V20">
        <v>2204.3389999999999</v>
      </c>
      <c r="W20">
        <v>890.60400000000004</v>
      </c>
      <c r="Y20">
        <v>31341.608</v>
      </c>
      <c r="Z20">
        <v>753.66700000000003</v>
      </c>
      <c r="AA20">
        <v>12312.3</v>
      </c>
      <c r="AB20">
        <v>1172.231</v>
      </c>
      <c r="AC20">
        <v>11439.700999999999</v>
      </c>
      <c r="AD20">
        <v>5663.7089999999998</v>
      </c>
      <c r="AF20">
        <v>181220.185</v>
      </c>
      <c r="AH20">
        <v>5377.54</v>
      </c>
      <c r="AI20">
        <v>11187.351000000001</v>
      </c>
      <c r="AJ20">
        <v>2170.9859999999999</v>
      </c>
      <c r="AK20">
        <v>1203.9839999999999</v>
      </c>
      <c r="AL20">
        <v>396.60599999999999</v>
      </c>
      <c r="AM20">
        <v>200.846</v>
      </c>
      <c r="AN20">
        <v>248.93</v>
      </c>
      <c r="AO20">
        <v>357.60300000000001</v>
      </c>
      <c r="AP20">
        <v>6250.9960000000001</v>
      </c>
      <c r="AQ20">
        <v>2172.5189999999998</v>
      </c>
      <c r="AR20">
        <v>1354.1030000000001</v>
      </c>
      <c r="AS20">
        <v>2022.0229999999999</v>
      </c>
      <c r="AT20">
        <v>417.2</v>
      </c>
      <c r="AU20">
        <v>285.14999999999998</v>
      </c>
      <c r="AV20">
        <v>7069.02</v>
      </c>
      <c r="AW20">
        <v>6578.7619999999997</v>
      </c>
      <c r="AX20">
        <v>313.41899999999998</v>
      </c>
      <c r="AY20">
        <v>176.839</v>
      </c>
      <c r="AZ20">
        <v>10926.807000000001</v>
      </c>
      <c r="BA20">
        <v>544.78800000000001</v>
      </c>
      <c r="BB20">
        <v>5874.5280000000002</v>
      </c>
      <c r="BC20">
        <v>3645.4059999999999</v>
      </c>
      <c r="BD20">
        <v>862.08399999999995</v>
      </c>
      <c r="BE20">
        <v>2455.1570000000002</v>
      </c>
      <c r="BF20">
        <v>676.82</v>
      </c>
      <c r="BG20">
        <v>764.16</v>
      </c>
      <c r="BH20">
        <v>469.19499999999999</v>
      </c>
      <c r="BI20">
        <v>107.7</v>
      </c>
      <c r="BJ20">
        <v>259.98</v>
      </c>
      <c r="BK20">
        <v>177.30199999999999</v>
      </c>
    </row>
    <row r="21" spans="1:63" x14ac:dyDescent="0.2">
      <c r="A21">
        <v>1977</v>
      </c>
      <c r="B21">
        <v>28689.542000000001</v>
      </c>
      <c r="C21">
        <v>6615.6289999999999</v>
      </c>
      <c r="D21">
        <v>13469.721</v>
      </c>
      <c r="E21">
        <v>29855.355</v>
      </c>
      <c r="F21">
        <v>12336.597</v>
      </c>
      <c r="G21">
        <v>3455.221</v>
      </c>
      <c r="H21">
        <v>23088.441999999999</v>
      </c>
      <c r="I21">
        <v>2443.069</v>
      </c>
      <c r="J21">
        <v>14844.78</v>
      </c>
      <c r="K21">
        <v>722.15499999999997</v>
      </c>
      <c r="L21">
        <v>9525.2939999999999</v>
      </c>
      <c r="M21">
        <v>18398.55</v>
      </c>
      <c r="N21">
        <v>-57.4</v>
      </c>
      <c r="P21">
        <v>163386.95499999999</v>
      </c>
      <c r="Q21">
        <v>159084.726</v>
      </c>
      <c r="S21">
        <v>4747.3760000000002</v>
      </c>
      <c r="T21">
        <v>671.68700000000001</v>
      </c>
      <c r="U21">
        <v>591.10400000000004</v>
      </c>
      <c r="V21">
        <v>2481.4479999999999</v>
      </c>
      <c r="W21">
        <v>1003.1369999999999</v>
      </c>
      <c r="Y21">
        <v>35704.46</v>
      </c>
      <c r="Z21">
        <v>813.69399999999996</v>
      </c>
      <c r="AA21">
        <v>13864.981</v>
      </c>
      <c r="AB21">
        <v>1451.604</v>
      </c>
      <c r="AC21">
        <v>12999.824000000001</v>
      </c>
      <c r="AD21">
        <v>6574.3559999999998</v>
      </c>
      <c r="AF21">
        <v>203838.79</v>
      </c>
      <c r="AH21">
        <v>6146.0919999999996</v>
      </c>
      <c r="AI21">
        <v>12778.05</v>
      </c>
      <c r="AJ21">
        <v>2457.9180000000001</v>
      </c>
      <c r="AK21">
        <v>1400.3109999999999</v>
      </c>
      <c r="AL21">
        <v>463.50799999999998</v>
      </c>
      <c r="AM21">
        <v>226.34700000000001</v>
      </c>
      <c r="AN21">
        <v>290.93</v>
      </c>
      <c r="AO21">
        <v>419.52600000000001</v>
      </c>
      <c r="AP21">
        <v>7072.9840000000004</v>
      </c>
      <c r="AQ21">
        <v>2738.2649999999999</v>
      </c>
      <c r="AR21">
        <v>1511.808</v>
      </c>
      <c r="AS21">
        <v>2086.0619999999999</v>
      </c>
      <c r="AT21">
        <v>401.25</v>
      </c>
      <c r="AU21">
        <v>335.6</v>
      </c>
      <c r="AV21">
        <v>7924.7420000000002</v>
      </c>
      <c r="AW21">
        <v>7375.9430000000002</v>
      </c>
      <c r="AX21">
        <v>363.76799999999997</v>
      </c>
      <c r="AY21">
        <v>185.03100000000001</v>
      </c>
      <c r="AZ21">
        <v>12423.286</v>
      </c>
      <c r="BA21">
        <v>611.12199999999996</v>
      </c>
      <c r="BB21">
        <v>6763.009</v>
      </c>
      <c r="BC21">
        <v>4038.799</v>
      </c>
      <c r="BD21">
        <v>1010.356</v>
      </c>
      <c r="BE21">
        <v>2740.4140000000002</v>
      </c>
      <c r="BF21">
        <v>726.22</v>
      </c>
      <c r="BG21">
        <v>846.40599999999995</v>
      </c>
      <c r="BH21">
        <v>556.06399999999996</v>
      </c>
      <c r="BI21">
        <v>118.5</v>
      </c>
      <c r="BJ21">
        <v>300.93799999999999</v>
      </c>
      <c r="BK21">
        <v>192.28700000000001</v>
      </c>
    </row>
    <row r="22" spans="1:63" x14ac:dyDescent="0.2">
      <c r="A22">
        <v>1978</v>
      </c>
      <c r="B22">
        <v>31854.502</v>
      </c>
      <c r="C22">
        <v>7243.6959999999999</v>
      </c>
      <c r="D22">
        <v>14838.346</v>
      </c>
      <c r="E22">
        <v>34112.207000000002</v>
      </c>
      <c r="F22">
        <v>13797.227000000001</v>
      </c>
      <c r="G22">
        <v>4133.6059999999998</v>
      </c>
      <c r="H22">
        <v>26819.595000000001</v>
      </c>
      <c r="I22">
        <v>3006.1559999999999</v>
      </c>
      <c r="J22">
        <v>16738.25</v>
      </c>
      <c r="K22">
        <v>853.34100000000001</v>
      </c>
      <c r="L22">
        <v>10755.892</v>
      </c>
      <c r="M22">
        <v>21191.107</v>
      </c>
      <c r="N22">
        <v>-753.90300000000002</v>
      </c>
      <c r="P22">
        <v>184590.022</v>
      </c>
      <c r="Q22">
        <v>179649.842</v>
      </c>
      <c r="S22">
        <v>5334.5730000000003</v>
      </c>
      <c r="T22">
        <v>749.10299999999995</v>
      </c>
      <c r="U22">
        <v>674.25</v>
      </c>
      <c r="V22">
        <v>2787.4580000000001</v>
      </c>
      <c r="W22">
        <v>1123.7629999999999</v>
      </c>
      <c r="Y22">
        <v>42113.661</v>
      </c>
      <c r="Z22">
        <v>872.25699999999995</v>
      </c>
      <c r="AA22">
        <v>16705.707999999999</v>
      </c>
      <c r="AB22">
        <v>1828.37</v>
      </c>
      <c r="AC22">
        <v>15011.307000000001</v>
      </c>
      <c r="AD22">
        <v>7696.0190000000002</v>
      </c>
      <c r="AF22">
        <v>232038.25599999999</v>
      </c>
      <c r="AH22">
        <v>6907.6220000000003</v>
      </c>
      <c r="AI22">
        <v>14480.647000000001</v>
      </c>
      <c r="AJ22">
        <v>2646.0459999999998</v>
      </c>
      <c r="AK22">
        <v>1613.6469999999999</v>
      </c>
      <c r="AL22">
        <v>519.745</v>
      </c>
      <c r="AM22">
        <v>256.863</v>
      </c>
      <c r="AN22">
        <v>326.23</v>
      </c>
      <c r="AO22">
        <v>510.80900000000003</v>
      </c>
      <c r="AP22">
        <v>8464.2450000000008</v>
      </c>
      <c r="AQ22">
        <v>3264.415</v>
      </c>
      <c r="AR22">
        <v>1791.81</v>
      </c>
      <c r="AS22">
        <v>2571.4299999999998</v>
      </c>
      <c r="AT22">
        <v>477.22</v>
      </c>
      <c r="AU22">
        <v>359.37</v>
      </c>
      <c r="AV22">
        <v>9197.9069999999992</v>
      </c>
      <c r="AW22">
        <v>8601.9089999999997</v>
      </c>
      <c r="AX22">
        <v>402.14699999999999</v>
      </c>
      <c r="AY22">
        <v>193.852</v>
      </c>
      <c r="AZ22">
        <v>14391.947</v>
      </c>
      <c r="BA22">
        <v>695.4</v>
      </c>
      <c r="BB22">
        <v>7810.5209999999997</v>
      </c>
      <c r="BC22">
        <v>4694.0370000000003</v>
      </c>
      <c r="BD22">
        <v>1191.99</v>
      </c>
      <c r="BE22">
        <v>3229.74</v>
      </c>
      <c r="BF22">
        <v>849.69</v>
      </c>
      <c r="BG22">
        <v>1000.057</v>
      </c>
      <c r="BH22">
        <v>689.25900000000001</v>
      </c>
      <c r="BI22">
        <v>125.34</v>
      </c>
      <c r="BJ22">
        <v>345</v>
      </c>
      <c r="BK22">
        <v>220.39400000000001</v>
      </c>
    </row>
    <row r="23" spans="1:63" x14ac:dyDescent="0.2">
      <c r="A23">
        <v>1979</v>
      </c>
      <c r="B23">
        <v>35318.803</v>
      </c>
      <c r="C23">
        <v>8165.991</v>
      </c>
      <c r="D23">
        <v>16749.560000000001</v>
      </c>
      <c r="E23">
        <v>39342.396999999997</v>
      </c>
      <c r="F23">
        <v>15871.673000000001</v>
      </c>
      <c r="G23">
        <v>4698.183</v>
      </c>
      <c r="H23">
        <v>31066.181</v>
      </c>
      <c r="I23">
        <v>3791.3220000000001</v>
      </c>
      <c r="J23">
        <v>19186.451000000001</v>
      </c>
      <c r="K23">
        <v>991.7</v>
      </c>
      <c r="L23">
        <v>11977.168</v>
      </c>
      <c r="M23">
        <v>25184.409</v>
      </c>
      <c r="N23">
        <v>-567.83699999999999</v>
      </c>
      <c r="P23">
        <v>211776.00099999999</v>
      </c>
      <c r="Q23">
        <v>205584.25099999999</v>
      </c>
      <c r="S23">
        <v>5999.64</v>
      </c>
      <c r="T23">
        <v>858.93</v>
      </c>
      <c r="U23">
        <v>759.79600000000005</v>
      </c>
      <c r="V23">
        <v>3120.6390000000001</v>
      </c>
      <c r="W23">
        <v>1260.2739999999999</v>
      </c>
      <c r="Y23">
        <v>47835.499000000003</v>
      </c>
      <c r="Z23">
        <v>1021.918</v>
      </c>
      <c r="AA23">
        <v>19441.339</v>
      </c>
      <c r="AB23">
        <v>1954.3679999999999</v>
      </c>
      <c r="AC23">
        <v>16856.260999999999</v>
      </c>
      <c r="AD23">
        <v>8561.6129999999994</v>
      </c>
      <c r="AF23">
        <v>265611.13900000002</v>
      </c>
      <c r="AH23">
        <v>7819.8410000000003</v>
      </c>
      <c r="AI23">
        <v>16848.483</v>
      </c>
      <c r="AJ23">
        <v>2921.7719999999999</v>
      </c>
      <c r="AK23">
        <v>1843.5060000000001</v>
      </c>
      <c r="AL23">
        <v>607.06500000000005</v>
      </c>
      <c r="AM23">
        <v>292.83999999999997</v>
      </c>
      <c r="AN23">
        <v>381.03</v>
      </c>
      <c r="AO23">
        <v>562.57100000000003</v>
      </c>
      <c r="AP23">
        <v>9908.7970000000005</v>
      </c>
      <c r="AQ23">
        <v>3878.4070000000002</v>
      </c>
      <c r="AR23">
        <v>2051.41</v>
      </c>
      <c r="AS23">
        <v>2983.28</v>
      </c>
      <c r="AT23">
        <v>571.34</v>
      </c>
      <c r="AU23">
        <v>424.36</v>
      </c>
      <c r="AV23">
        <v>10689.687</v>
      </c>
      <c r="AW23">
        <v>10031.209000000001</v>
      </c>
      <c r="AX23">
        <v>413.08600000000001</v>
      </c>
      <c r="AY23">
        <v>245.393</v>
      </c>
      <c r="AZ23">
        <v>16501.131000000001</v>
      </c>
      <c r="BA23">
        <v>794.99900000000002</v>
      </c>
      <c r="BB23">
        <v>9046.5429999999997</v>
      </c>
      <c r="BC23">
        <v>5256.1549999999997</v>
      </c>
      <c r="BD23">
        <v>1403.434</v>
      </c>
      <c r="BE23">
        <v>3875.3629999999998</v>
      </c>
      <c r="BF23">
        <v>974.87</v>
      </c>
      <c r="BG23">
        <v>1189.912</v>
      </c>
      <c r="BH23">
        <v>892.36500000000001</v>
      </c>
      <c r="BI23">
        <v>144.4</v>
      </c>
      <c r="BJ23">
        <v>403.47</v>
      </c>
      <c r="BK23">
        <v>270.346</v>
      </c>
    </row>
    <row r="24" spans="1:63" x14ac:dyDescent="0.2">
      <c r="A24">
        <v>1980</v>
      </c>
      <c r="B24">
        <v>39221.690999999999</v>
      </c>
      <c r="C24">
        <v>9197.9789999999994</v>
      </c>
      <c r="D24">
        <v>18425.612000000001</v>
      </c>
      <c r="E24">
        <v>47592.184000000001</v>
      </c>
      <c r="F24">
        <v>18105.921999999999</v>
      </c>
      <c r="G24">
        <v>5380.732</v>
      </c>
      <c r="H24">
        <v>35446.220999999998</v>
      </c>
      <c r="I24">
        <v>4507.9660000000003</v>
      </c>
      <c r="J24">
        <v>21650.284</v>
      </c>
      <c r="K24">
        <v>1173.223</v>
      </c>
      <c r="L24">
        <v>13742.536</v>
      </c>
      <c r="M24">
        <v>28646.936000000002</v>
      </c>
      <c r="N24">
        <v>-788.31100000000004</v>
      </c>
      <c r="P24">
        <v>242302.97500000001</v>
      </c>
      <c r="Q24">
        <v>235540.88500000001</v>
      </c>
      <c r="S24">
        <v>6881.4359999999997</v>
      </c>
      <c r="T24">
        <v>995.41399999999999</v>
      </c>
      <c r="U24">
        <v>877.29399999999998</v>
      </c>
      <c r="V24">
        <v>3567.7959999999998</v>
      </c>
      <c r="W24">
        <v>1440.931</v>
      </c>
      <c r="Y24">
        <v>55582.144</v>
      </c>
      <c r="Z24">
        <v>1265.3389999999999</v>
      </c>
      <c r="AA24">
        <v>22623.125</v>
      </c>
      <c r="AB24">
        <v>2325.35</v>
      </c>
      <c r="AC24">
        <v>19412.665000000001</v>
      </c>
      <c r="AD24">
        <v>9955.6650000000009</v>
      </c>
      <c r="AF24">
        <v>304766.55499999999</v>
      </c>
      <c r="AH24">
        <v>8884.8310000000001</v>
      </c>
      <c r="AI24">
        <v>19961.667000000001</v>
      </c>
      <c r="AJ24">
        <v>3504.56</v>
      </c>
      <c r="AK24">
        <v>2100.6370000000002</v>
      </c>
      <c r="AL24">
        <v>699.84299999999996</v>
      </c>
      <c r="AM24">
        <v>321.988</v>
      </c>
      <c r="AN24">
        <v>439.27</v>
      </c>
      <c r="AO24">
        <v>639.53599999999994</v>
      </c>
      <c r="AP24">
        <v>13140.49</v>
      </c>
      <c r="AQ24">
        <v>4960.4719999999998</v>
      </c>
      <c r="AR24">
        <v>2884.2559999999999</v>
      </c>
      <c r="AS24">
        <v>4069.0610000000001</v>
      </c>
      <c r="AT24">
        <v>637.51099999999997</v>
      </c>
      <c r="AU24">
        <v>589.19000000000005</v>
      </c>
      <c r="AV24">
        <v>11705.737999999999</v>
      </c>
      <c r="AW24">
        <v>10941.117</v>
      </c>
      <c r="AX24">
        <v>454.74</v>
      </c>
      <c r="AY24">
        <v>309.88</v>
      </c>
      <c r="AZ24">
        <v>19211.851999999999</v>
      </c>
      <c r="BA24">
        <v>915.11</v>
      </c>
      <c r="BB24">
        <v>10735.108</v>
      </c>
      <c r="BC24">
        <v>5975.2929999999997</v>
      </c>
      <c r="BD24">
        <v>1586.3409999999999</v>
      </c>
      <c r="BE24">
        <v>4528.6310000000003</v>
      </c>
      <c r="BF24">
        <v>1104.26</v>
      </c>
      <c r="BG24">
        <v>1379.8409999999999</v>
      </c>
      <c r="BH24">
        <v>1087.7619999999999</v>
      </c>
      <c r="BI24">
        <v>160.65</v>
      </c>
      <c r="BJ24">
        <v>476.11500000000001</v>
      </c>
      <c r="BK24">
        <v>320.00200000000001</v>
      </c>
    </row>
    <row r="25" spans="1:63" x14ac:dyDescent="0.2">
      <c r="A25">
        <v>1981</v>
      </c>
      <c r="B25">
        <v>45072.911</v>
      </c>
      <c r="C25">
        <v>10514.424999999999</v>
      </c>
      <c r="D25">
        <v>20810.268</v>
      </c>
      <c r="E25">
        <v>55226.499000000003</v>
      </c>
      <c r="F25">
        <v>20423.835999999999</v>
      </c>
      <c r="G25">
        <v>6433.0990000000002</v>
      </c>
      <c r="H25">
        <v>41158.425999999999</v>
      </c>
      <c r="I25">
        <v>5348.73</v>
      </c>
      <c r="J25">
        <v>24629.751</v>
      </c>
      <c r="K25">
        <v>1366.258</v>
      </c>
      <c r="L25">
        <v>16041.55</v>
      </c>
      <c r="M25">
        <v>34345.186999999998</v>
      </c>
      <c r="N25">
        <v>-368.07400000000001</v>
      </c>
      <c r="P25">
        <v>281002.864</v>
      </c>
      <c r="Q25">
        <v>271595.484</v>
      </c>
      <c r="S25">
        <v>7805.4669999999996</v>
      </c>
      <c r="T25">
        <v>1137.6210000000001</v>
      </c>
      <c r="U25">
        <v>1017.278</v>
      </c>
      <c r="V25">
        <v>4023.8240000000001</v>
      </c>
      <c r="W25">
        <v>1626.7429999999999</v>
      </c>
      <c r="Y25">
        <v>64835.205000000002</v>
      </c>
      <c r="Z25">
        <v>1624.88</v>
      </c>
      <c r="AA25">
        <v>26460.206999999999</v>
      </c>
      <c r="AB25">
        <v>2677.8780000000002</v>
      </c>
      <c r="AC25">
        <v>22558.940999999999</v>
      </c>
      <c r="AD25">
        <v>11513.299000000001</v>
      </c>
      <c r="AF25">
        <v>353643.53499999997</v>
      </c>
      <c r="AH25">
        <v>10080.245000000001</v>
      </c>
      <c r="AI25">
        <v>23776.377</v>
      </c>
      <c r="AJ25">
        <v>3933.424</v>
      </c>
      <c r="AK25">
        <v>2430.3449999999998</v>
      </c>
      <c r="AL25">
        <v>820.94899999999996</v>
      </c>
      <c r="AM25">
        <v>357.96499999999997</v>
      </c>
      <c r="AN25">
        <v>515.28</v>
      </c>
      <c r="AO25">
        <v>736.15</v>
      </c>
      <c r="AP25">
        <v>15006.108</v>
      </c>
      <c r="AQ25">
        <v>5735.19</v>
      </c>
      <c r="AR25">
        <v>3643.4920000000002</v>
      </c>
      <c r="AS25">
        <v>4244.085</v>
      </c>
      <c r="AT25">
        <v>671.95100000000002</v>
      </c>
      <c r="AU25">
        <v>711.39</v>
      </c>
      <c r="AV25">
        <v>13230.386</v>
      </c>
      <c r="AW25">
        <v>12539.903</v>
      </c>
      <c r="AX25">
        <v>406.483</v>
      </c>
      <c r="AY25">
        <v>284</v>
      </c>
      <c r="AZ25">
        <v>22634.169000000002</v>
      </c>
      <c r="BA25">
        <v>1045.875</v>
      </c>
      <c r="BB25">
        <v>12697.5</v>
      </c>
      <c r="BC25">
        <v>7016.8509999999997</v>
      </c>
      <c r="BD25">
        <v>1873.943</v>
      </c>
      <c r="BE25">
        <v>5293.87</v>
      </c>
      <c r="BF25">
        <v>1255.6500000000001</v>
      </c>
      <c r="BG25">
        <v>1590.3810000000001</v>
      </c>
      <c r="BH25">
        <v>1310.873</v>
      </c>
      <c r="BI25">
        <v>187.88</v>
      </c>
      <c r="BJ25">
        <v>561.22500000000002</v>
      </c>
      <c r="BK25">
        <v>387.86</v>
      </c>
    </row>
    <row r="26" spans="1:63" x14ac:dyDescent="0.2">
      <c r="A26">
        <v>1982</v>
      </c>
      <c r="B26">
        <v>51427.606</v>
      </c>
      <c r="C26">
        <v>12206.621999999999</v>
      </c>
      <c r="D26">
        <v>23756.850999999999</v>
      </c>
      <c r="E26">
        <v>62529.692000000003</v>
      </c>
      <c r="F26">
        <v>23396.526000000002</v>
      </c>
      <c r="G26">
        <v>7595.2460000000001</v>
      </c>
      <c r="H26">
        <v>49490.552000000003</v>
      </c>
      <c r="I26">
        <v>6206.0460000000003</v>
      </c>
      <c r="J26">
        <v>28870.22</v>
      </c>
      <c r="K26">
        <v>1524.7329999999999</v>
      </c>
      <c r="L26">
        <v>18529.68</v>
      </c>
      <c r="M26">
        <v>39725.326999999997</v>
      </c>
      <c r="N26">
        <v>-755.03300000000002</v>
      </c>
      <c r="P26">
        <v>324504.06699999998</v>
      </c>
      <c r="Q26">
        <v>313120.087</v>
      </c>
      <c r="S26">
        <v>8845.8799999999992</v>
      </c>
      <c r="T26">
        <v>1310.6369999999999</v>
      </c>
      <c r="U26">
        <v>1192.4469999999999</v>
      </c>
      <c r="V26">
        <v>4514.8289999999997</v>
      </c>
      <c r="W26">
        <v>1827.9670000000001</v>
      </c>
      <c r="Y26">
        <v>76226.251999999993</v>
      </c>
      <c r="Z26">
        <v>2434.123</v>
      </c>
      <c r="AA26">
        <v>30711.196</v>
      </c>
      <c r="AB26">
        <v>3108.0320000000002</v>
      </c>
      <c r="AC26">
        <v>26599.242999999999</v>
      </c>
      <c r="AD26">
        <v>13373.657999999999</v>
      </c>
      <c r="AF26">
        <v>409576.19900000002</v>
      </c>
      <c r="AH26">
        <v>10623.311</v>
      </c>
      <c r="AI26">
        <v>27380.974999999999</v>
      </c>
      <c r="AJ26">
        <v>4507.6149999999998</v>
      </c>
      <c r="AK26">
        <v>2796.14</v>
      </c>
      <c r="AL26">
        <v>922.58900000000006</v>
      </c>
      <c r="AM26">
        <v>395.31</v>
      </c>
      <c r="AN26">
        <v>579.08000000000004</v>
      </c>
      <c r="AO26">
        <v>899.16099999999994</v>
      </c>
      <c r="AP26">
        <v>17221.650000000001</v>
      </c>
      <c r="AQ26">
        <v>6802.7979999999998</v>
      </c>
      <c r="AR26">
        <v>4343.268</v>
      </c>
      <c r="AS26">
        <v>4620.6030000000001</v>
      </c>
      <c r="AT26">
        <v>668.49099999999999</v>
      </c>
      <c r="AU26">
        <v>786.49</v>
      </c>
      <c r="AV26">
        <v>16974.021000000001</v>
      </c>
      <c r="AW26">
        <v>16178.343999999999</v>
      </c>
      <c r="AX26">
        <v>484.88400000000001</v>
      </c>
      <c r="AY26">
        <v>310.79199999999997</v>
      </c>
      <c r="AZ26">
        <v>26370.373</v>
      </c>
      <c r="BA26">
        <v>1229.049</v>
      </c>
      <c r="BB26">
        <v>14736.907999999999</v>
      </c>
      <c r="BC26">
        <v>8181.0129999999999</v>
      </c>
      <c r="BD26">
        <v>2223.4029999999998</v>
      </c>
      <c r="BE26">
        <v>6146.1580000000004</v>
      </c>
      <c r="BF26">
        <v>1488.06</v>
      </c>
      <c r="BG26">
        <v>1786.6089999999999</v>
      </c>
      <c r="BH26">
        <v>1565.316</v>
      </c>
      <c r="BI26">
        <v>218.5</v>
      </c>
      <c r="BJ26">
        <v>645.11300000000006</v>
      </c>
      <c r="BK26">
        <v>442.56</v>
      </c>
    </row>
    <row r="27" spans="1:63" x14ac:dyDescent="0.2">
      <c r="A27">
        <v>1983</v>
      </c>
      <c r="B27">
        <v>56877.345000000001</v>
      </c>
      <c r="C27">
        <v>13449.668</v>
      </c>
      <c r="D27">
        <v>26223.634999999998</v>
      </c>
      <c r="E27">
        <v>71300.497000000003</v>
      </c>
      <c r="F27">
        <v>24699.932000000001</v>
      </c>
      <c r="G27">
        <v>8842.8960000000006</v>
      </c>
      <c r="H27">
        <v>54103.139000000003</v>
      </c>
      <c r="I27">
        <v>6997.66</v>
      </c>
      <c r="J27">
        <v>31183.61</v>
      </c>
      <c r="K27">
        <v>1830.0070000000001</v>
      </c>
      <c r="L27">
        <v>20518.219000000001</v>
      </c>
      <c r="M27">
        <v>44689.658000000003</v>
      </c>
      <c r="N27">
        <v>-2095.2809999999999</v>
      </c>
      <c r="P27">
        <v>358620.98599999998</v>
      </c>
      <c r="Q27">
        <v>345347.81599999999</v>
      </c>
      <c r="S27">
        <v>9668.5509999999995</v>
      </c>
      <c r="T27">
        <v>1458.4739999999999</v>
      </c>
      <c r="U27">
        <v>1301.8130000000001</v>
      </c>
      <c r="V27">
        <v>4919.4219999999996</v>
      </c>
      <c r="W27">
        <v>1988.8420000000001</v>
      </c>
      <c r="Y27">
        <v>84557.081000000006</v>
      </c>
      <c r="Z27">
        <v>2812.2820000000002</v>
      </c>
      <c r="AA27">
        <v>34798.027999999998</v>
      </c>
      <c r="AB27">
        <v>3331.11</v>
      </c>
      <c r="AC27">
        <v>28857.384999999998</v>
      </c>
      <c r="AD27">
        <v>14758.275</v>
      </c>
      <c r="AF27">
        <v>452846.61700000003</v>
      </c>
      <c r="AH27">
        <v>11859.23</v>
      </c>
      <c r="AI27">
        <v>31620.092000000001</v>
      </c>
      <c r="AJ27">
        <v>4920.1880000000001</v>
      </c>
      <c r="AK27">
        <v>3097.1329999999998</v>
      </c>
      <c r="AL27">
        <v>1008.107</v>
      </c>
      <c r="AM27">
        <v>444.04199999999997</v>
      </c>
      <c r="AN27">
        <v>632.75</v>
      </c>
      <c r="AO27">
        <v>1012.234</v>
      </c>
      <c r="AP27">
        <v>19803.855</v>
      </c>
      <c r="AQ27">
        <v>8146.0349999999999</v>
      </c>
      <c r="AR27">
        <v>5083.683</v>
      </c>
      <c r="AS27">
        <v>4972.5259999999998</v>
      </c>
      <c r="AT27">
        <v>741.43100000000004</v>
      </c>
      <c r="AU27">
        <v>860.18</v>
      </c>
      <c r="AV27">
        <v>18487.13</v>
      </c>
      <c r="AW27">
        <v>17687.768</v>
      </c>
      <c r="AX27">
        <v>492.62900000000002</v>
      </c>
      <c r="AY27">
        <v>306.733</v>
      </c>
      <c r="AZ27">
        <v>28766.141</v>
      </c>
      <c r="BA27">
        <v>1336.317</v>
      </c>
      <c r="BB27">
        <v>15986.71</v>
      </c>
      <c r="BC27">
        <v>8993.1290000000008</v>
      </c>
      <c r="BD27">
        <v>2449.9839999999999</v>
      </c>
      <c r="BE27">
        <v>6849.8680000000004</v>
      </c>
      <c r="BF27">
        <v>1646.76</v>
      </c>
      <c r="BG27">
        <v>1944.8710000000001</v>
      </c>
      <c r="BH27">
        <v>1813.2650000000001</v>
      </c>
      <c r="BI27">
        <v>235.98</v>
      </c>
      <c r="BJ27">
        <v>737.85</v>
      </c>
      <c r="BK27">
        <v>471.142</v>
      </c>
    </row>
    <row r="28" spans="1:63" x14ac:dyDescent="0.2">
      <c r="A28">
        <v>1984</v>
      </c>
      <c r="B28">
        <v>62756.245000000003</v>
      </c>
      <c r="C28">
        <v>14155.133</v>
      </c>
      <c r="D28">
        <v>28222.1</v>
      </c>
      <c r="E28">
        <v>80036.175000000003</v>
      </c>
      <c r="F28">
        <v>25686.780999999999</v>
      </c>
      <c r="G28">
        <v>10031.429</v>
      </c>
      <c r="H28">
        <v>56603.786</v>
      </c>
      <c r="I28">
        <v>8125.7579999999998</v>
      </c>
      <c r="J28">
        <v>33603.540999999997</v>
      </c>
      <c r="K28">
        <v>2071.3029999999999</v>
      </c>
      <c r="L28">
        <v>22026.916000000001</v>
      </c>
      <c r="M28">
        <v>49239.05</v>
      </c>
      <c r="N28">
        <v>-2836.4879999999998</v>
      </c>
      <c r="P28">
        <v>389721.72899999999</v>
      </c>
      <c r="Q28">
        <v>374559.89899999998</v>
      </c>
      <c r="S28">
        <v>10322.644</v>
      </c>
      <c r="T28">
        <v>1559.4570000000001</v>
      </c>
      <c r="U28">
        <v>1421.4760000000001</v>
      </c>
      <c r="V28">
        <v>5226.415</v>
      </c>
      <c r="W28">
        <v>2115.297</v>
      </c>
      <c r="Y28">
        <v>92765.955000000002</v>
      </c>
      <c r="Z28">
        <v>3196.3380000000002</v>
      </c>
      <c r="AA28">
        <v>38249.582999999999</v>
      </c>
      <c r="AB28">
        <v>3621.2840000000001</v>
      </c>
      <c r="AC28">
        <v>31565.289000000001</v>
      </c>
      <c r="AD28">
        <v>16133.462</v>
      </c>
      <c r="AF28">
        <v>492810.32799999998</v>
      </c>
      <c r="AH28">
        <v>13055.334999999999</v>
      </c>
      <c r="AI28">
        <v>35916.853999999999</v>
      </c>
      <c r="AJ28">
        <v>5284.7809999999999</v>
      </c>
      <c r="AK28">
        <v>3408.1309999999999</v>
      </c>
      <c r="AL28">
        <v>1106.973</v>
      </c>
      <c r="AM28">
        <v>531.48599999999999</v>
      </c>
      <c r="AN28">
        <v>694.81</v>
      </c>
      <c r="AO28">
        <v>1074.8620000000001</v>
      </c>
      <c r="AP28">
        <v>22371.074000000001</v>
      </c>
      <c r="AQ28">
        <v>9647.5259999999998</v>
      </c>
      <c r="AR28">
        <v>5795.982</v>
      </c>
      <c r="AS28">
        <v>5208.5839999999998</v>
      </c>
      <c r="AT28">
        <v>799.37099999999998</v>
      </c>
      <c r="AU28">
        <v>919.61</v>
      </c>
      <c r="AV28">
        <v>18037.376</v>
      </c>
      <c r="AW28">
        <v>17213.162</v>
      </c>
      <c r="AX28">
        <v>485.48599999999999</v>
      </c>
      <c r="AY28">
        <v>338.72800000000001</v>
      </c>
      <c r="AZ28">
        <v>31164.726999999999</v>
      </c>
      <c r="BA28">
        <v>1412.4</v>
      </c>
      <c r="BB28">
        <v>17480.003000000001</v>
      </c>
      <c r="BC28">
        <v>9613.0869999999995</v>
      </c>
      <c r="BD28">
        <v>2659.2370000000001</v>
      </c>
      <c r="BE28">
        <v>7401.6819999999998</v>
      </c>
      <c r="BF28">
        <v>1791.65</v>
      </c>
      <c r="BG28">
        <v>2084.0279999999998</v>
      </c>
      <c r="BH28">
        <v>2006.347</v>
      </c>
      <c r="BI28">
        <v>235.47</v>
      </c>
      <c r="BJ28">
        <v>814.11</v>
      </c>
      <c r="BK28">
        <v>470.077</v>
      </c>
    </row>
    <row r="29" spans="1:63" x14ac:dyDescent="0.2">
      <c r="A29">
        <v>1985</v>
      </c>
      <c r="B29">
        <v>66933.748000000007</v>
      </c>
      <c r="C29">
        <v>14836.625</v>
      </c>
      <c r="D29">
        <v>30352.52</v>
      </c>
      <c r="E29">
        <v>87854.339000000007</v>
      </c>
      <c r="F29">
        <v>27069.344000000001</v>
      </c>
      <c r="G29">
        <v>11340.066000000001</v>
      </c>
      <c r="H29">
        <v>61346.281999999999</v>
      </c>
      <c r="I29">
        <v>9085.8029999999999</v>
      </c>
      <c r="J29">
        <v>35723.942999999999</v>
      </c>
      <c r="K29">
        <v>2337.8220000000001</v>
      </c>
      <c r="L29">
        <v>23826.319</v>
      </c>
      <c r="M29">
        <v>54057.591999999997</v>
      </c>
      <c r="N29">
        <v>-2894.837</v>
      </c>
      <c r="P29">
        <v>421869.56599999999</v>
      </c>
      <c r="Q29">
        <v>404683.42599999998</v>
      </c>
      <c r="S29">
        <v>10818.29</v>
      </c>
      <c r="T29">
        <v>1638.299</v>
      </c>
      <c r="U29">
        <v>1493.8240000000001</v>
      </c>
      <c r="V29">
        <v>5472.4089999999997</v>
      </c>
      <c r="W29">
        <v>2213.7579999999998</v>
      </c>
      <c r="Y29">
        <v>99376.437000000005</v>
      </c>
      <c r="Z29">
        <v>3381.33</v>
      </c>
      <c r="AA29">
        <v>41729.635000000002</v>
      </c>
      <c r="AB29">
        <v>4027.4070000000002</v>
      </c>
      <c r="AC29">
        <v>33026.264000000003</v>
      </c>
      <c r="AD29">
        <v>17211.802</v>
      </c>
      <c r="AF29">
        <v>532064.29399999999</v>
      </c>
      <c r="AH29">
        <v>14265.796</v>
      </c>
      <c r="AI29">
        <v>39172.377999999997</v>
      </c>
      <c r="AJ29">
        <v>5674.3680000000004</v>
      </c>
      <c r="AK29">
        <v>3689.239</v>
      </c>
      <c r="AL29">
        <v>1217.5050000000001</v>
      </c>
      <c r="AM29">
        <v>572.01300000000003</v>
      </c>
      <c r="AN29">
        <v>764.19</v>
      </c>
      <c r="AO29">
        <v>1135.5309999999999</v>
      </c>
      <c r="AP29">
        <v>25052.558000000001</v>
      </c>
      <c r="AQ29">
        <v>10829.217000000001</v>
      </c>
      <c r="AR29">
        <v>6587.8230000000003</v>
      </c>
      <c r="AS29">
        <v>5705.6959999999999</v>
      </c>
      <c r="AT29">
        <v>914.37199999999996</v>
      </c>
      <c r="AU29">
        <v>1015.45</v>
      </c>
      <c r="AV29">
        <v>19534.262999999999</v>
      </c>
      <c r="AW29">
        <v>18763.53</v>
      </c>
      <c r="AX29">
        <v>392.05399999999997</v>
      </c>
      <c r="AY29">
        <v>378.678</v>
      </c>
      <c r="AZ29">
        <v>33807.06</v>
      </c>
      <c r="BA29">
        <v>1489.85</v>
      </c>
      <c r="BB29">
        <v>19306.345000000001</v>
      </c>
      <c r="BC29">
        <v>10170.137000000001</v>
      </c>
      <c r="BD29">
        <v>2840.7280000000001</v>
      </c>
      <c r="BE29">
        <v>8004.9589999999998</v>
      </c>
      <c r="BF29">
        <v>1971.97</v>
      </c>
      <c r="BG29">
        <v>2216.8180000000002</v>
      </c>
      <c r="BH29">
        <v>2184.6559999999999</v>
      </c>
      <c r="BI29">
        <v>237.04</v>
      </c>
      <c r="BJ29">
        <v>880.42499999999995</v>
      </c>
      <c r="BK29">
        <v>514.05100000000004</v>
      </c>
    </row>
    <row r="30" spans="1:63" x14ac:dyDescent="0.2">
      <c r="A30">
        <v>1986</v>
      </c>
      <c r="B30">
        <v>70122.395999999993</v>
      </c>
      <c r="C30">
        <v>15777.630999999999</v>
      </c>
      <c r="D30">
        <v>32995.487000000001</v>
      </c>
      <c r="E30">
        <v>91218.907999999996</v>
      </c>
      <c r="F30">
        <v>29002.861000000001</v>
      </c>
      <c r="G30">
        <v>12635.179</v>
      </c>
      <c r="H30">
        <v>64701.19</v>
      </c>
      <c r="I30">
        <v>9465.9</v>
      </c>
      <c r="J30">
        <v>38475.648000000001</v>
      </c>
      <c r="K30">
        <v>2579.549</v>
      </c>
      <c r="L30">
        <v>25413.863000000001</v>
      </c>
      <c r="M30">
        <v>58553.125</v>
      </c>
      <c r="N30">
        <v>-1368.8620000000001</v>
      </c>
      <c r="P30">
        <v>449572.87599999999</v>
      </c>
      <c r="Q30">
        <v>431068.72600000002</v>
      </c>
      <c r="S30">
        <v>11325.346</v>
      </c>
      <c r="T30">
        <v>1717.0530000000001</v>
      </c>
      <c r="U30">
        <v>1566.222</v>
      </c>
      <c r="V30">
        <v>5726.3829999999998</v>
      </c>
      <c r="W30">
        <v>2315.6880000000001</v>
      </c>
      <c r="Y30">
        <v>105233.211</v>
      </c>
      <c r="Z30">
        <v>3619.7330000000002</v>
      </c>
      <c r="AA30">
        <v>44791.921000000002</v>
      </c>
      <c r="AB30">
        <v>4277.76</v>
      </c>
      <c r="AC30">
        <v>34465.078999999998</v>
      </c>
      <c r="AD30">
        <v>18078.719000000001</v>
      </c>
      <c r="AF30">
        <v>566131.43299999996</v>
      </c>
      <c r="AH30">
        <v>15390.727000000001</v>
      </c>
      <c r="AI30">
        <v>42626.616000000002</v>
      </c>
      <c r="AJ30">
        <v>6026.2209999999995</v>
      </c>
      <c r="AK30">
        <v>3948.1239999999998</v>
      </c>
      <c r="AL30">
        <v>1283.2049999999999</v>
      </c>
      <c r="AM30">
        <v>618.01</v>
      </c>
      <c r="AN30">
        <v>805.42</v>
      </c>
      <c r="AO30">
        <v>1241.489</v>
      </c>
      <c r="AP30">
        <v>23227.219000000001</v>
      </c>
      <c r="AQ30">
        <v>11105.916999999999</v>
      </c>
      <c r="AR30">
        <v>6024.0619999999999</v>
      </c>
      <c r="AS30">
        <v>4238.527</v>
      </c>
      <c r="AT30">
        <v>943.89200000000005</v>
      </c>
      <c r="AU30">
        <v>914.82</v>
      </c>
      <c r="AV30">
        <v>23168.199000000001</v>
      </c>
      <c r="AW30">
        <v>22305.053</v>
      </c>
      <c r="AX30">
        <v>482.89400000000001</v>
      </c>
      <c r="AY30">
        <v>380.25200000000001</v>
      </c>
      <c r="AZ30">
        <v>33423.857000000004</v>
      </c>
      <c r="BA30">
        <v>1595.123</v>
      </c>
      <c r="BB30">
        <v>17565.214</v>
      </c>
      <c r="BC30">
        <v>10955.481</v>
      </c>
      <c r="BD30">
        <v>3308.0369999999998</v>
      </c>
      <c r="BE30">
        <v>8109.134</v>
      </c>
      <c r="BF30">
        <v>1903.9</v>
      </c>
      <c r="BG30">
        <v>2293.2570000000001</v>
      </c>
      <c r="BH30">
        <v>2271.2739999999999</v>
      </c>
      <c r="BI30">
        <v>224.32</v>
      </c>
      <c r="BJ30">
        <v>908.00300000000004</v>
      </c>
      <c r="BK30">
        <v>508.38</v>
      </c>
    </row>
    <row r="31" spans="1:63" x14ac:dyDescent="0.2">
      <c r="A31">
        <v>1987</v>
      </c>
      <c r="B31">
        <v>73132.043999999994</v>
      </c>
      <c r="C31">
        <v>16285.407999999999</v>
      </c>
      <c r="D31">
        <v>34302.125999999997</v>
      </c>
      <c r="E31">
        <v>96087.262000000002</v>
      </c>
      <c r="F31">
        <v>30604.569</v>
      </c>
      <c r="G31">
        <v>13536.377</v>
      </c>
      <c r="H31">
        <v>70493.254000000001</v>
      </c>
      <c r="I31">
        <v>10258.369000000001</v>
      </c>
      <c r="J31">
        <v>41112.434999999998</v>
      </c>
      <c r="K31">
        <v>2991</v>
      </c>
      <c r="L31">
        <v>27283.010999999999</v>
      </c>
      <c r="M31">
        <v>62964.794999999998</v>
      </c>
      <c r="N31">
        <v>-777.91499999999996</v>
      </c>
      <c r="P31">
        <v>478272.73599999998</v>
      </c>
      <c r="Q31">
        <v>458512.59600000002</v>
      </c>
      <c r="S31">
        <v>11891.036</v>
      </c>
      <c r="T31">
        <v>1822.1179999999999</v>
      </c>
      <c r="U31">
        <v>1641.049</v>
      </c>
      <c r="V31">
        <v>5999.59</v>
      </c>
      <c r="W31">
        <v>2428.2779999999998</v>
      </c>
      <c r="Y31">
        <v>109991.08</v>
      </c>
      <c r="Z31">
        <v>3872.741</v>
      </c>
      <c r="AA31">
        <v>46904.521000000001</v>
      </c>
      <c r="AB31">
        <v>4504.34</v>
      </c>
      <c r="AC31">
        <v>35818.563000000002</v>
      </c>
      <c r="AD31">
        <v>18890.915000000001</v>
      </c>
      <c r="AF31">
        <v>600154.85100000002</v>
      </c>
      <c r="AH31">
        <v>16652.313999999998</v>
      </c>
      <c r="AI31">
        <v>46668.118000000002</v>
      </c>
      <c r="AJ31">
        <v>6565.585</v>
      </c>
      <c r="AK31">
        <v>4242.9070000000002</v>
      </c>
      <c r="AL31">
        <v>1407.527</v>
      </c>
      <c r="AM31">
        <v>674.02700000000004</v>
      </c>
      <c r="AN31">
        <v>883.46</v>
      </c>
      <c r="AO31">
        <v>1277.894</v>
      </c>
      <c r="AP31">
        <v>21958.338</v>
      </c>
      <c r="AQ31">
        <v>11409.93</v>
      </c>
      <c r="AR31">
        <v>5209.13</v>
      </c>
      <c r="AS31">
        <v>3582.8249999999998</v>
      </c>
      <c r="AT31">
        <v>900.59299999999996</v>
      </c>
      <c r="AU31">
        <v>855.86</v>
      </c>
      <c r="AV31">
        <v>26316.452000000001</v>
      </c>
      <c r="AW31">
        <v>25313.666000000001</v>
      </c>
      <c r="AX31">
        <v>613.40899999999999</v>
      </c>
      <c r="AY31">
        <v>389.37700000000001</v>
      </c>
      <c r="AZ31">
        <v>35670.493000000002</v>
      </c>
      <c r="BA31">
        <v>1730.261</v>
      </c>
      <c r="BB31">
        <v>17803.947</v>
      </c>
      <c r="BC31">
        <v>12420.864</v>
      </c>
      <c r="BD31">
        <v>3715.4209999999998</v>
      </c>
      <c r="BE31">
        <v>8506.3089999999993</v>
      </c>
      <c r="BF31">
        <v>1971.9</v>
      </c>
      <c r="BG31">
        <v>2391.7779999999998</v>
      </c>
      <c r="BH31">
        <v>2501.04</v>
      </c>
      <c r="BI31">
        <v>248.69</v>
      </c>
      <c r="BJ31">
        <v>936.04499999999996</v>
      </c>
      <c r="BK31">
        <v>456.85599999999999</v>
      </c>
    </row>
    <row r="32" spans="1:63" x14ac:dyDescent="0.2">
      <c r="A32">
        <v>1988</v>
      </c>
      <c r="B32">
        <v>76102.903000000006</v>
      </c>
      <c r="C32">
        <v>17127.616000000002</v>
      </c>
      <c r="D32">
        <v>35033.500999999997</v>
      </c>
      <c r="E32">
        <v>102083.842</v>
      </c>
      <c r="F32">
        <v>32505.844000000001</v>
      </c>
      <c r="G32">
        <v>15110.056</v>
      </c>
      <c r="H32">
        <v>75169.847999999998</v>
      </c>
      <c r="I32">
        <v>10519.947</v>
      </c>
      <c r="J32">
        <v>44010.542999999998</v>
      </c>
      <c r="K32">
        <v>3291.01</v>
      </c>
      <c r="L32">
        <v>29681.217000000001</v>
      </c>
      <c r="M32">
        <v>67819.563999999998</v>
      </c>
      <c r="N32">
        <v>-1070.171</v>
      </c>
      <c r="P32">
        <v>507385.72</v>
      </c>
      <c r="Q32">
        <v>485894.49</v>
      </c>
      <c r="S32">
        <v>12701.040999999999</v>
      </c>
      <c r="T32">
        <v>1971.143</v>
      </c>
      <c r="U32">
        <v>1703.8440000000001</v>
      </c>
      <c r="V32">
        <v>6426.3760000000002</v>
      </c>
      <c r="W32">
        <v>2599.6770000000001</v>
      </c>
      <c r="Y32">
        <v>115943.356</v>
      </c>
      <c r="Z32">
        <v>3979.817</v>
      </c>
      <c r="AA32">
        <v>50233.197999999997</v>
      </c>
      <c r="AB32">
        <v>4590.8</v>
      </c>
      <c r="AC32">
        <v>36855.637000000002</v>
      </c>
      <c r="AD32">
        <v>20283.903999999999</v>
      </c>
      <c r="AF32">
        <v>636030.11600000004</v>
      </c>
      <c r="AH32">
        <v>18365.473999999998</v>
      </c>
      <c r="AI32">
        <v>51710.014000000003</v>
      </c>
      <c r="AJ32">
        <v>6961.9639999999999</v>
      </c>
      <c r="AK32">
        <v>4509.5889999999999</v>
      </c>
      <c r="AL32">
        <v>1496.539</v>
      </c>
      <c r="AM32">
        <v>704.54300000000001</v>
      </c>
      <c r="AN32">
        <v>939.33</v>
      </c>
      <c r="AO32">
        <v>1369.1769999999999</v>
      </c>
      <c r="AP32">
        <v>20536.802</v>
      </c>
      <c r="AQ32">
        <v>11123.217000000001</v>
      </c>
      <c r="AR32">
        <v>4771.3270000000002</v>
      </c>
      <c r="AS32">
        <v>3066.875</v>
      </c>
      <c r="AT32">
        <v>833.61300000000006</v>
      </c>
      <c r="AU32">
        <v>741.77</v>
      </c>
      <c r="AV32">
        <v>28140.141</v>
      </c>
      <c r="AW32">
        <v>27018.427</v>
      </c>
      <c r="AX32">
        <v>696.26900000000001</v>
      </c>
      <c r="AY32">
        <v>425.44499999999999</v>
      </c>
      <c r="AZ32">
        <v>37964.75</v>
      </c>
      <c r="BA32">
        <v>1860.2339999999999</v>
      </c>
      <c r="BB32">
        <v>18519.875</v>
      </c>
      <c r="BC32">
        <v>13430.242</v>
      </c>
      <c r="BD32">
        <v>4154.3999999999996</v>
      </c>
      <c r="BE32">
        <v>9064.9560000000001</v>
      </c>
      <c r="BF32">
        <v>2132.2399999999998</v>
      </c>
      <c r="BG32">
        <v>2485.665</v>
      </c>
      <c r="BH32">
        <v>2729.1930000000002</v>
      </c>
      <c r="BI32">
        <v>278.79000000000002</v>
      </c>
      <c r="BJ32">
        <v>967.46299999999997</v>
      </c>
      <c r="BK32">
        <v>471.60599999999999</v>
      </c>
    </row>
    <row r="33" spans="1:63" x14ac:dyDescent="0.2">
      <c r="A33">
        <v>1989</v>
      </c>
      <c r="B33">
        <v>80507.168999999994</v>
      </c>
      <c r="C33">
        <v>17981.710999999999</v>
      </c>
      <c r="D33">
        <v>36353.279999999999</v>
      </c>
      <c r="E33">
        <v>109740.95299999999</v>
      </c>
      <c r="F33">
        <v>34102.445</v>
      </c>
      <c r="G33">
        <v>16794.34</v>
      </c>
      <c r="H33">
        <v>82156.460999999996</v>
      </c>
      <c r="I33">
        <v>11111.098</v>
      </c>
      <c r="J33">
        <v>47448.838000000003</v>
      </c>
      <c r="K33">
        <v>3712.616</v>
      </c>
      <c r="L33">
        <v>32456.641</v>
      </c>
      <c r="M33">
        <v>74586.880000000005</v>
      </c>
      <c r="N33">
        <v>-3235.9960000000001</v>
      </c>
      <c r="P33">
        <v>543716.43599999999</v>
      </c>
      <c r="Q33">
        <v>519161.81599999999</v>
      </c>
      <c r="S33">
        <v>13629.55</v>
      </c>
      <c r="T33">
        <v>2137.8380000000002</v>
      </c>
      <c r="U33">
        <v>1815.953</v>
      </c>
      <c r="V33">
        <v>6890.4369999999999</v>
      </c>
      <c r="W33">
        <v>2785.3220000000001</v>
      </c>
      <c r="Y33">
        <v>123745.47500000001</v>
      </c>
      <c r="Z33">
        <v>4340.7259999999997</v>
      </c>
      <c r="AA33">
        <v>54460.597999999998</v>
      </c>
      <c r="AB33">
        <v>4889.5129999999999</v>
      </c>
      <c r="AC33">
        <v>38983.421000000002</v>
      </c>
      <c r="AD33">
        <v>21071.218000000001</v>
      </c>
      <c r="AF33">
        <v>681091.46100000001</v>
      </c>
      <c r="AH33">
        <v>19763.460999999999</v>
      </c>
      <c r="AI33">
        <v>56889.822</v>
      </c>
      <c r="AJ33">
        <v>7426.3720000000003</v>
      </c>
      <c r="AK33">
        <v>4781.7439999999997</v>
      </c>
      <c r="AL33">
        <v>1603.5360000000001</v>
      </c>
      <c r="AM33">
        <v>757.82399999999996</v>
      </c>
      <c r="AN33">
        <v>1006.49</v>
      </c>
      <c r="AO33">
        <v>1413.893</v>
      </c>
      <c r="AP33">
        <v>20879.554</v>
      </c>
      <c r="AQ33">
        <v>11249.234</v>
      </c>
      <c r="AR33">
        <v>4768.4269999999997</v>
      </c>
      <c r="AS33">
        <v>3336.2</v>
      </c>
      <c r="AT33">
        <v>771.673</v>
      </c>
      <c r="AU33">
        <v>754.02</v>
      </c>
      <c r="AV33">
        <v>31325.364000000001</v>
      </c>
      <c r="AW33">
        <v>29988.141</v>
      </c>
      <c r="AX33">
        <v>817.68100000000004</v>
      </c>
      <c r="AY33">
        <v>519.54100000000005</v>
      </c>
      <c r="AZ33">
        <v>41204.909</v>
      </c>
      <c r="BA33">
        <v>1999.528</v>
      </c>
      <c r="BB33">
        <v>20095.844000000001</v>
      </c>
      <c r="BC33">
        <v>14352.629000000001</v>
      </c>
      <c r="BD33">
        <v>4756.9080000000004</v>
      </c>
      <c r="BE33">
        <v>9626.1880000000001</v>
      </c>
      <c r="BF33">
        <v>2235.42</v>
      </c>
      <c r="BG33">
        <v>2595.0479999999998</v>
      </c>
      <c r="BH33">
        <v>3001.4470000000001</v>
      </c>
      <c r="BI33">
        <v>304.33999999999997</v>
      </c>
      <c r="BJ33">
        <v>1013.43</v>
      </c>
      <c r="BK33">
        <v>476.50299999999999</v>
      </c>
    </row>
    <row r="34" spans="1:63" x14ac:dyDescent="0.2">
      <c r="A34">
        <v>1990</v>
      </c>
      <c r="B34">
        <v>84423.569000000003</v>
      </c>
      <c r="C34">
        <v>18666.411</v>
      </c>
      <c r="D34">
        <v>38471.288999999997</v>
      </c>
      <c r="E34">
        <v>117627.83</v>
      </c>
      <c r="F34">
        <v>35379.050999999999</v>
      </c>
      <c r="G34">
        <v>18317.963</v>
      </c>
      <c r="H34">
        <v>85552.130999999994</v>
      </c>
      <c r="I34">
        <v>11972.894</v>
      </c>
      <c r="J34">
        <v>50267.061999999998</v>
      </c>
      <c r="K34">
        <v>3695.701</v>
      </c>
      <c r="L34">
        <v>34956.002999999997</v>
      </c>
      <c r="M34">
        <v>77895.168999999994</v>
      </c>
      <c r="N34">
        <v>-3816.116</v>
      </c>
      <c r="P34">
        <v>573408.95700000005</v>
      </c>
      <c r="Q34">
        <v>548148.897</v>
      </c>
      <c r="S34">
        <v>14708.856</v>
      </c>
      <c r="T34">
        <v>2294.1</v>
      </c>
      <c r="U34">
        <v>1954.71</v>
      </c>
      <c r="V34">
        <v>7446.4669999999996</v>
      </c>
      <c r="W34">
        <v>3013.5790000000002</v>
      </c>
      <c r="Y34">
        <v>132563.43400000001</v>
      </c>
      <c r="Z34">
        <v>4819.88</v>
      </c>
      <c r="AA34">
        <v>58416.896999999997</v>
      </c>
      <c r="AB34">
        <v>4991.4390000000003</v>
      </c>
      <c r="AC34">
        <v>42252.813000000002</v>
      </c>
      <c r="AD34">
        <v>22082.405999999999</v>
      </c>
      <c r="AF34">
        <v>720681.24699999997</v>
      </c>
      <c r="AH34">
        <v>21098.975999999999</v>
      </c>
      <c r="AI34">
        <v>61195.800999999999</v>
      </c>
      <c r="AJ34">
        <v>7904.982</v>
      </c>
      <c r="AK34">
        <v>5120.7740000000003</v>
      </c>
      <c r="AL34">
        <v>1750.2080000000001</v>
      </c>
      <c r="AM34">
        <v>776.50599999999997</v>
      </c>
      <c r="AN34">
        <v>1098.54</v>
      </c>
      <c r="AO34">
        <v>1495.52</v>
      </c>
      <c r="AP34">
        <v>22307.297999999999</v>
      </c>
      <c r="AQ34">
        <v>11960.869000000001</v>
      </c>
      <c r="AR34">
        <v>5141.7049999999999</v>
      </c>
      <c r="AS34">
        <v>3625.3319999999999</v>
      </c>
      <c r="AT34">
        <v>784.21299999999997</v>
      </c>
      <c r="AU34">
        <v>795.18</v>
      </c>
      <c r="AV34">
        <v>31893.152999999998</v>
      </c>
      <c r="AW34">
        <v>30380.63</v>
      </c>
      <c r="AX34">
        <v>857.56</v>
      </c>
      <c r="AY34">
        <v>654.96199999999999</v>
      </c>
      <c r="AZ34">
        <v>43257.762999999999</v>
      </c>
      <c r="BA34">
        <v>2119.2579999999998</v>
      </c>
      <c r="BB34">
        <v>20916.937999999998</v>
      </c>
      <c r="BC34">
        <v>15177.382</v>
      </c>
      <c r="BD34">
        <v>5044.1850000000004</v>
      </c>
      <c r="BE34">
        <v>10401.216</v>
      </c>
      <c r="BF34">
        <v>2379.5500000000002</v>
      </c>
      <c r="BG34">
        <v>2760.8989999999999</v>
      </c>
      <c r="BH34">
        <v>3358.6750000000002</v>
      </c>
      <c r="BI34">
        <v>313.93</v>
      </c>
      <c r="BJ34">
        <v>1104.78</v>
      </c>
      <c r="BK34">
        <v>483.38200000000001</v>
      </c>
    </row>
    <row r="35" spans="1:63" x14ac:dyDescent="0.2">
      <c r="A35">
        <v>1991</v>
      </c>
      <c r="B35">
        <v>87704.817999999999</v>
      </c>
      <c r="C35">
        <v>19397.651999999998</v>
      </c>
      <c r="D35">
        <v>39356.442999999999</v>
      </c>
      <c r="E35">
        <v>127793.579</v>
      </c>
      <c r="F35">
        <v>35922.228000000003</v>
      </c>
      <c r="G35">
        <v>19600.348999999998</v>
      </c>
      <c r="H35">
        <v>84509.205000000002</v>
      </c>
      <c r="I35">
        <v>12554.569</v>
      </c>
      <c r="J35">
        <v>52409.432999999997</v>
      </c>
      <c r="K35">
        <v>3780.4369999999999</v>
      </c>
      <c r="L35">
        <v>37054.771000000001</v>
      </c>
      <c r="M35">
        <v>77378.328999999998</v>
      </c>
      <c r="N35">
        <v>-4950.9350000000004</v>
      </c>
      <c r="P35">
        <v>592510.87699999998</v>
      </c>
      <c r="Q35">
        <v>569846.71699999995</v>
      </c>
      <c r="S35">
        <v>15456.829</v>
      </c>
      <c r="T35">
        <v>2408.5639999999999</v>
      </c>
      <c r="U35">
        <v>2067.2829999999999</v>
      </c>
      <c r="V35">
        <v>7818.4030000000002</v>
      </c>
      <c r="W35">
        <v>3162.5790000000002</v>
      </c>
      <c r="Y35">
        <v>140618.10800000001</v>
      </c>
      <c r="Z35">
        <v>5294.375</v>
      </c>
      <c r="AA35">
        <v>61869.366000000002</v>
      </c>
      <c r="AB35">
        <v>5277.5010000000002</v>
      </c>
      <c r="AC35">
        <v>44783.61</v>
      </c>
      <c r="AD35">
        <v>23393.257000000001</v>
      </c>
      <c r="AF35">
        <v>748585.81299999997</v>
      </c>
      <c r="AH35">
        <v>22581.876</v>
      </c>
      <c r="AI35">
        <v>66119.009000000005</v>
      </c>
      <c r="AJ35">
        <v>8394.8809999999994</v>
      </c>
      <c r="AK35">
        <v>5504.1660000000002</v>
      </c>
      <c r="AL35">
        <v>1870.2729999999999</v>
      </c>
      <c r="AM35">
        <v>848.43299999999999</v>
      </c>
      <c r="AN35">
        <v>1236.27</v>
      </c>
      <c r="AO35">
        <v>1549.19</v>
      </c>
      <c r="AP35">
        <v>25193.647000000001</v>
      </c>
      <c r="AQ35">
        <v>13314.929</v>
      </c>
      <c r="AR35">
        <v>6251.1710000000003</v>
      </c>
      <c r="AS35">
        <v>3914.1239999999998</v>
      </c>
      <c r="AT35">
        <v>838.40300000000002</v>
      </c>
      <c r="AU35">
        <v>875.02</v>
      </c>
      <c r="AV35">
        <v>29429.088</v>
      </c>
      <c r="AW35">
        <v>27879.64</v>
      </c>
      <c r="AX35">
        <v>878.86699999999996</v>
      </c>
      <c r="AY35">
        <v>670.58</v>
      </c>
      <c r="AZ35">
        <v>44679.557000000001</v>
      </c>
      <c r="BA35">
        <v>2227.8040000000001</v>
      </c>
      <c r="BB35">
        <v>21212.243999999999</v>
      </c>
      <c r="BC35">
        <v>15847.361000000001</v>
      </c>
      <c r="BD35">
        <v>5392.1469999999999</v>
      </c>
      <c r="BE35">
        <v>10400.561</v>
      </c>
      <c r="BF35">
        <v>2278.84</v>
      </c>
      <c r="BG35">
        <v>2908.8249999999998</v>
      </c>
      <c r="BH35">
        <v>3171.1959999999999</v>
      </c>
      <c r="BI35">
        <v>327.35000000000002</v>
      </c>
      <c r="BJ35">
        <v>1239.518</v>
      </c>
      <c r="BK35">
        <v>474.83199999999999</v>
      </c>
    </row>
    <row r="36" spans="1:63" x14ac:dyDescent="0.2">
      <c r="A36">
        <v>1992</v>
      </c>
      <c r="B36">
        <v>88024.244000000006</v>
      </c>
      <c r="C36">
        <v>20529.633999999998</v>
      </c>
      <c r="D36">
        <v>39689.074000000001</v>
      </c>
      <c r="E36">
        <v>136014.478</v>
      </c>
      <c r="F36">
        <v>36250.487999999998</v>
      </c>
      <c r="G36">
        <v>20969.492999999999</v>
      </c>
      <c r="H36">
        <v>87560.676999999996</v>
      </c>
      <c r="I36">
        <v>13131.744000000001</v>
      </c>
      <c r="J36">
        <v>54042.428</v>
      </c>
      <c r="K36">
        <v>4024.9969999999998</v>
      </c>
      <c r="L36">
        <v>38432.419000000002</v>
      </c>
      <c r="M36">
        <v>81238.706000000006</v>
      </c>
      <c r="N36">
        <v>-6227.4</v>
      </c>
      <c r="P36">
        <v>613680.98</v>
      </c>
      <c r="Q36">
        <v>590410.68999999994</v>
      </c>
      <c r="S36">
        <v>17230.143</v>
      </c>
      <c r="T36">
        <v>2502.4369999999999</v>
      </c>
      <c r="U36">
        <v>2214.625</v>
      </c>
      <c r="V36">
        <v>8965.3770000000004</v>
      </c>
      <c r="W36">
        <v>3547.7040000000002</v>
      </c>
      <c r="Y36">
        <v>150123.35800000001</v>
      </c>
      <c r="Z36">
        <v>6061.1710000000003</v>
      </c>
      <c r="AA36">
        <v>65658.774999999994</v>
      </c>
      <c r="AB36">
        <v>5861.1719999999996</v>
      </c>
      <c r="AC36">
        <v>47821.728000000003</v>
      </c>
      <c r="AD36">
        <v>24720.510999999999</v>
      </c>
      <c r="AF36">
        <v>781034.48100000003</v>
      </c>
      <c r="AH36">
        <v>23966.978999999999</v>
      </c>
      <c r="AI36">
        <v>71736.572</v>
      </c>
      <c r="AJ36">
        <v>8806.9269999999997</v>
      </c>
      <c r="AK36">
        <v>6140.7359999999999</v>
      </c>
      <c r="AL36">
        <v>2092.0880000000002</v>
      </c>
      <c r="AM36">
        <v>936.87</v>
      </c>
      <c r="AN36">
        <v>1430.33</v>
      </c>
      <c r="AO36">
        <v>1681.4480000000001</v>
      </c>
      <c r="AP36">
        <v>25363.263999999999</v>
      </c>
      <c r="AQ36">
        <v>14001.124</v>
      </c>
      <c r="AR36">
        <v>6135.7330000000002</v>
      </c>
      <c r="AS36">
        <v>3533.8739999999998</v>
      </c>
      <c r="AT36">
        <v>791.61300000000006</v>
      </c>
      <c r="AU36">
        <v>900.92</v>
      </c>
      <c r="AV36">
        <v>30688.341</v>
      </c>
      <c r="AW36">
        <v>29140.510999999999</v>
      </c>
      <c r="AX36">
        <v>900.17399999999998</v>
      </c>
      <c r="AY36">
        <v>647.65599999999995</v>
      </c>
      <c r="AZ36">
        <v>45723.262000000002</v>
      </c>
      <c r="BA36">
        <v>2341.6619999999998</v>
      </c>
      <c r="BB36">
        <v>20962.552</v>
      </c>
      <c r="BC36">
        <v>16465.550999999999</v>
      </c>
      <c r="BD36">
        <v>5953.4979999999996</v>
      </c>
      <c r="BE36">
        <v>11149.073</v>
      </c>
      <c r="BF36">
        <v>2376.06</v>
      </c>
      <c r="BG36">
        <v>3138.105</v>
      </c>
      <c r="BH36">
        <v>3410.6239999999998</v>
      </c>
      <c r="BI36">
        <v>343.19</v>
      </c>
      <c r="BJ36">
        <v>1402.7180000000001</v>
      </c>
      <c r="BK36">
        <v>478.37599999999998</v>
      </c>
    </row>
    <row r="37" spans="1:63" x14ac:dyDescent="0.2">
      <c r="A37">
        <v>1993</v>
      </c>
      <c r="B37">
        <v>88672.718999999997</v>
      </c>
      <c r="C37">
        <v>22331.132000000001</v>
      </c>
      <c r="D37">
        <v>39356.595000000001</v>
      </c>
      <c r="E37">
        <v>143050.78</v>
      </c>
      <c r="F37">
        <v>36163.934000000001</v>
      </c>
      <c r="G37">
        <v>22232.761999999999</v>
      </c>
      <c r="H37">
        <v>85272.657999999996</v>
      </c>
      <c r="I37">
        <v>13564.986999999999</v>
      </c>
      <c r="J37">
        <v>54772.413999999997</v>
      </c>
      <c r="K37">
        <v>4102.6279999999997</v>
      </c>
      <c r="L37">
        <v>38844.898000000001</v>
      </c>
      <c r="M37">
        <v>80670.491999999998</v>
      </c>
      <c r="N37">
        <v>-6391.5730000000003</v>
      </c>
      <c r="P37">
        <v>622644.42599999998</v>
      </c>
      <c r="Q37">
        <v>601444.12600000005</v>
      </c>
      <c r="S37">
        <v>17824.97</v>
      </c>
      <c r="T37">
        <v>2517.8270000000002</v>
      </c>
      <c r="U37">
        <v>2347.6709999999998</v>
      </c>
      <c r="V37">
        <v>9030.4539999999997</v>
      </c>
      <c r="W37">
        <v>3929.018</v>
      </c>
      <c r="Y37">
        <v>158159.114</v>
      </c>
      <c r="Z37">
        <v>7034.375</v>
      </c>
      <c r="AA37">
        <v>69436.807000000001</v>
      </c>
      <c r="AB37">
        <v>5971.9430000000002</v>
      </c>
      <c r="AC37">
        <v>50511.097000000002</v>
      </c>
      <c r="AD37">
        <v>25204.892</v>
      </c>
      <c r="AF37">
        <v>798628.51</v>
      </c>
      <c r="AH37">
        <v>24928.516</v>
      </c>
      <c r="AI37">
        <v>76636.252999999997</v>
      </c>
      <c r="AJ37">
        <v>9240.4580000000005</v>
      </c>
      <c r="AK37">
        <v>6575.8860000000004</v>
      </c>
      <c r="AL37">
        <v>2249.9360000000001</v>
      </c>
      <c r="AM37">
        <v>1069.846</v>
      </c>
      <c r="AN37">
        <v>1568.23</v>
      </c>
      <c r="AO37">
        <v>1687.875</v>
      </c>
      <c r="AP37">
        <v>25669.667000000001</v>
      </c>
      <c r="AQ37">
        <v>14256.46</v>
      </c>
      <c r="AR37">
        <v>6257.9449999999997</v>
      </c>
      <c r="AS37">
        <v>3445.9079999999999</v>
      </c>
      <c r="AT37">
        <v>788.99300000000005</v>
      </c>
      <c r="AU37">
        <v>920.36</v>
      </c>
      <c r="AV37">
        <v>27318.059000000001</v>
      </c>
      <c r="AW37">
        <v>25754.335999999999</v>
      </c>
      <c r="AX37">
        <v>850.73400000000004</v>
      </c>
      <c r="AY37">
        <v>712.99</v>
      </c>
      <c r="AZ37">
        <v>46973.46</v>
      </c>
      <c r="BA37">
        <v>2368.3180000000002</v>
      </c>
      <c r="BB37">
        <v>21594.288</v>
      </c>
      <c r="BC37">
        <v>16567.257000000001</v>
      </c>
      <c r="BD37">
        <v>6443.5969999999998</v>
      </c>
      <c r="BE37">
        <v>10981.138999999999</v>
      </c>
      <c r="BF37">
        <v>2224.56</v>
      </c>
      <c r="BG37">
        <v>3205.288</v>
      </c>
      <c r="BH37">
        <v>3330.7109999999998</v>
      </c>
      <c r="BI37">
        <v>345.17</v>
      </c>
      <c r="BJ37">
        <v>1405.845</v>
      </c>
      <c r="BK37">
        <v>469.56400000000002</v>
      </c>
    </row>
    <row r="38" spans="1:63" x14ac:dyDescent="0.2">
      <c r="A38">
        <v>1994</v>
      </c>
      <c r="B38">
        <v>90248.604000000007</v>
      </c>
      <c r="C38">
        <v>23501.929</v>
      </c>
      <c r="D38">
        <v>38567.985000000001</v>
      </c>
      <c r="E38">
        <v>148317.06</v>
      </c>
      <c r="F38">
        <v>36556.078999999998</v>
      </c>
      <c r="G38">
        <v>23425.45</v>
      </c>
      <c r="H38">
        <v>90862.099000000002</v>
      </c>
      <c r="I38">
        <v>14157.733</v>
      </c>
      <c r="J38">
        <v>56611.39</v>
      </c>
      <c r="K38">
        <v>4124.576</v>
      </c>
      <c r="L38">
        <v>39274.438999999998</v>
      </c>
      <c r="M38">
        <v>79318.157000000007</v>
      </c>
      <c r="N38">
        <v>-6188.8130000000001</v>
      </c>
      <c r="P38">
        <v>638776.68700000003</v>
      </c>
      <c r="Q38">
        <v>621033.71699999995</v>
      </c>
      <c r="S38">
        <v>18771.47</v>
      </c>
      <c r="T38">
        <v>2580.8209999999999</v>
      </c>
      <c r="U38">
        <v>2363.817</v>
      </c>
      <c r="V38">
        <v>9404.9979999999996</v>
      </c>
      <c r="W38">
        <v>4421.8339999999998</v>
      </c>
      <c r="Y38">
        <v>163099.26699999999</v>
      </c>
      <c r="Z38">
        <v>7580.46</v>
      </c>
      <c r="AA38">
        <v>70752.61</v>
      </c>
      <c r="AB38">
        <v>6178.0140000000001</v>
      </c>
      <c r="AC38">
        <v>52388.053999999996</v>
      </c>
      <c r="AD38">
        <v>26200.128000000001</v>
      </c>
      <c r="AF38">
        <v>820647.424</v>
      </c>
      <c r="AH38">
        <v>26080.022000000001</v>
      </c>
      <c r="AI38">
        <v>80591.107999999993</v>
      </c>
      <c r="AJ38">
        <v>9552.15</v>
      </c>
      <c r="AK38">
        <v>7300.0439999999999</v>
      </c>
      <c r="AL38">
        <v>2418.8679999999999</v>
      </c>
      <c r="AM38">
        <v>1187.44</v>
      </c>
      <c r="AN38">
        <v>1964.88</v>
      </c>
      <c r="AO38">
        <v>1728.857</v>
      </c>
      <c r="AP38">
        <v>24793.736000000001</v>
      </c>
      <c r="AQ38">
        <v>14153.130999999999</v>
      </c>
      <c r="AR38">
        <v>5811.4709999999995</v>
      </c>
      <c r="AS38">
        <v>3060.06</v>
      </c>
      <c r="AT38">
        <v>867.42399999999998</v>
      </c>
      <c r="AU38">
        <v>901.65</v>
      </c>
      <c r="AV38">
        <v>30387.851999999999</v>
      </c>
      <c r="AW38">
        <v>28879.406999999999</v>
      </c>
      <c r="AX38">
        <v>813.11</v>
      </c>
      <c r="AY38">
        <v>695.33500000000004</v>
      </c>
      <c r="AZ38">
        <v>49258.033000000003</v>
      </c>
      <c r="BA38">
        <v>2508.7530000000002</v>
      </c>
      <c r="BB38">
        <v>22302.911</v>
      </c>
      <c r="BC38">
        <v>17612.862000000001</v>
      </c>
      <c r="BD38">
        <v>6833.5069999999996</v>
      </c>
      <c r="BE38">
        <v>11216.214</v>
      </c>
      <c r="BF38">
        <v>2307.14</v>
      </c>
      <c r="BG38">
        <v>3343.6370000000002</v>
      </c>
      <c r="BH38">
        <v>3258.596</v>
      </c>
      <c r="BI38">
        <v>351.73</v>
      </c>
      <c r="BJ38">
        <v>1451.925</v>
      </c>
      <c r="BK38">
        <v>503.18599999999998</v>
      </c>
    </row>
    <row r="39" spans="1:63" x14ac:dyDescent="0.2">
      <c r="A39">
        <v>1995</v>
      </c>
      <c r="B39">
        <v>92535.013000000006</v>
      </c>
      <c r="C39">
        <v>24365.987000000001</v>
      </c>
      <c r="D39">
        <v>37808.523999999998</v>
      </c>
      <c r="E39">
        <v>155028.217</v>
      </c>
      <c r="F39">
        <v>37189.987000000001</v>
      </c>
      <c r="G39">
        <v>24054.344000000001</v>
      </c>
      <c r="H39">
        <v>92273.767999999996</v>
      </c>
      <c r="I39">
        <v>14572.566000000001</v>
      </c>
      <c r="J39">
        <v>58969.459000000003</v>
      </c>
      <c r="K39">
        <v>4257.0339999999997</v>
      </c>
      <c r="L39">
        <v>40498.44</v>
      </c>
      <c r="M39">
        <v>78785.114000000001</v>
      </c>
      <c r="N39">
        <v>-5243.6710000000003</v>
      </c>
      <c r="P39">
        <v>655094.78300000005</v>
      </c>
      <c r="Q39">
        <v>640650.88300000003</v>
      </c>
      <c r="S39">
        <v>20588.965</v>
      </c>
      <c r="T39">
        <v>2756.1559999999999</v>
      </c>
      <c r="U39">
        <v>2387.5569999999998</v>
      </c>
      <c r="V39">
        <v>10140.941000000001</v>
      </c>
      <c r="W39">
        <v>5304.3109999999997</v>
      </c>
      <c r="Y39">
        <v>171674.72399999999</v>
      </c>
      <c r="Z39">
        <v>8064.6450000000004</v>
      </c>
      <c r="AA39">
        <v>74899.736000000004</v>
      </c>
      <c r="AB39">
        <v>5838.9</v>
      </c>
      <c r="AC39">
        <v>55948.468000000001</v>
      </c>
      <c r="AD39">
        <v>26922.974999999999</v>
      </c>
      <c r="AF39">
        <v>847358.473</v>
      </c>
      <c r="AH39">
        <v>27291.328000000001</v>
      </c>
      <c r="AI39">
        <v>84234.736000000004</v>
      </c>
      <c r="AJ39">
        <v>9923.3549999999996</v>
      </c>
      <c r="AK39">
        <v>7887.2550000000001</v>
      </c>
      <c r="AL39">
        <v>2516.8829999999998</v>
      </c>
      <c r="AM39">
        <v>1294.039</v>
      </c>
      <c r="AN39">
        <v>2264.5</v>
      </c>
      <c r="AO39">
        <v>1811.8330000000001</v>
      </c>
      <c r="AP39">
        <v>25691.544000000002</v>
      </c>
      <c r="AQ39">
        <v>14728.217000000001</v>
      </c>
      <c r="AR39">
        <v>6095.9309999999996</v>
      </c>
      <c r="AS39">
        <v>3072.7820000000002</v>
      </c>
      <c r="AT39">
        <v>852.39400000000001</v>
      </c>
      <c r="AU39">
        <v>942.22</v>
      </c>
      <c r="AV39">
        <v>29585.034</v>
      </c>
      <c r="AW39">
        <v>27904.437000000002</v>
      </c>
      <c r="AX39">
        <v>980.08500000000004</v>
      </c>
      <c r="AY39">
        <v>700.51300000000003</v>
      </c>
      <c r="AZ39">
        <v>51481.118999999999</v>
      </c>
      <c r="BA39">
        <v>2693.67</v>
      </c>
      <c r="BB39">
        <v>22857.129000000001</v>
      </c>
      <c r="BC39">
        <v>18734.312999999998</v>
      </c>
      <c r="BD39">
        <v>7196.0069999999996</v>
      </c>
      <c r="BE39">
        <v>11207.615</v>
      </c>
      <c r="BF39">
        <v>2226.58</v>
      </c>
      <c r="BG39">
        <v>3383.6219999999998</v>
      </c>
      <c r="BH39">
        <v>3248.9639999999999</v>
      </c>
      <c r="BI39">
        <v>321.41000000000003</v>
      </c>
      <c r="BJ39">
        <v>1514.9480000000001</v>
      </c>
      <c r="BK39">
        <v>512.09100000000001</v>
      </c>
    </row>
    <row r="40" spans="1:63" x14ac:dyDescent="0.2">
      <c r="A40">
        <v>1996</v>
      </c>
      <c r="B40">
        <v>93498.595000000001</v>
      </c>
      <c r="C40">
        <v>25276.323</v>
      </c>
      <c r="D40">
        <v>37996.942000000003</v>
      </c>
      <c r="E40">
        <v>162229.32800000001</v>
      </c>
      <c r="F40">
        <v>37981.841</v>
      </c>
      <c r="G40">
        <v>24711.800999999999</v>
      </c>
      <c r="H40">
        <v>97554.322</v>
      </c>
      <c r="I40">
        <v>15233.404</v>
      </c>
      <c r="J40">
        <v>60269.9</v>
      </c>
      <c r="K40">
        <v>4335.2349999999997</v>
      </c>
      <c r="L40">
        <v>40046.089</v>
      </c>
      <c r="M40">
        <v>83243.377999999997</v>
      </c>
      <c r="N40">
        <v>-4726.41</v>
      </c>
      <c r="P40">
        <v>677650.75</v>
      </c>
      <c r="Q40">
        <v>662409.61</v>
      </c>
      <c r="S40">
        <v>22057.161</v>
      </c>
      <c r="T40">
        <v>2820.5720000000001</v>
      </c>
      <c r="U40">
        <v>2435.62</v>
      </c>
      <c r="V40">
        <v>10875.486000000001</v>
      </c>
      <c r="W40">
        <v>5925.4830000000002</v>
      </c>
      <c r="Y40">
        <v>176611.45199999999</v>
      </c>
      <c r="Z40">
        <v>8419.6049999999996</v>
      </c>
      <c r="AA40">
        <v>76669.289000000004</v>
      </c>
      <c r="AB40">
        <v>6229.67</v>
      </c>
      <c r="AC40">
        <v>57054.125</v>
      </c>
      <c r="AD40">
        <v>28238.762999999999</v>
      </c>
      <c r="AF40">
        <v>876319.36199999996</v>
      </c>
      <c r="AH40">
        <v>28414.511999999999</v>
      </c>
      <c r="AI40">
        <v>87152.085000000006</v>
      </c>
      <c r="AJ40">
        <v>10286.33</v>
      </c>
      <c r="AK40">
        <v>8481.6910000000007</v>
      </c>
      <c r="AL40">
        <v>2714.9949999999999</v>
      </c>
      <c r="AM40">
        <v>1423.7170000000001</v>
      </c>
      <c r="AN40">
        <v>2484.9</v>
      </c>
      <c r="AO40">
        <v>1858.078</v>
      </c>
      <c r="AP40">
        <v>27894.71</v>
      </c>
      <c r="AQ40">
        <v>15598.005999999999</v>
      </c>
      <c r="AR40">
        <v>6760.6509999999998</v>
      </c>
      <c r="AS40">
        <v>3648.9690000000001</v>
      </c>
      <c r="AT40">
        <v>862.69399999999996</v>
      </c>
      <c r="AU40">
        <v>1024.3900000000001</v>
      </c>
      <c r="AV40">
        <v>32557.41</v>
      </c>
      <c r="AW40">
        <v>30739.473999999998</v>
      </c>
      <c r="AX40">
        <v>1189.0509999999999</v>
      </c>
      <c r="AY40">
        <v>628.88400000000001</v>
      </c>
      <c r="AZ40">
        <v>53052.69</v>
      </c>
      <c r="BA40">
        <v>2742.2689999999998</v>
      </c>
      <c r="BB40">
        <v>24116.14</v>
      </c>
      <c r="BC40">
        <v>18596.808000000001</v>
      </c>
      <c r="BD40">
        <v>7597.4719999999998</v>
      </c>
      <c r="BE40">
        <v>11944.222</v>
      </c>
      <c r="BF40">
        <v>2472.5100000000002</v>
      </c>
      <c r="BG40">
        <v>3563.2359999999999</v>
      </c>
      <c r="BH40">
        <v>3490.5479999999998</v>
      </c>
      <c r="BI40">
        <v>286.95999999999998</v>
      </c>
      <c r="BJ40">
        <v>1603.1030000000001</v>
      </c>
      <c r="BK40">
        <v>527.86599999999999</v>
      </c>
    </row>
    <row r="41" spans="1:63" x14ac:dyDescent="0.2">
      <c r="A41">
        <v>1997</v>
      </c>
      <c r="B41">
        <v>95772.237999999998</v>
      </c>
      <c r="C41">
        <v>25916.504000000001</v>
      </c>
      <c r="D41">
        <v>38604.923999999999</v>
      </c>
      <c r="E41">
        <v>166051.85800000001</v>
      </c>
      <c r="F41">
        <v>38702.417000000001</v>
      </c>
      <c r="G41">
        <v>25106.733</v>
      </c>
      <c r="H41">
        <v>94441.697</v>
      </c>
      <c r="I41">
        <v>15756.998</v>
      </c>
      <c r="J41">
        <v>62295.264000000003</v>
      </c>
      <c r="K41">
        <v>4900.7139999999999</v>
      </c>
      <c r="L41">
        <v>41595.124000000003</v>
      </c>
      <c r="M41">
        <v>84714.77</v>
      </c>
      <c r="N41">
        <v>-6581.6689999999999</v>
      </c>
      <c r="P41">
        <v>687277.57</v>
      </c>
      <c r="Q41">
        <v>674360.61</v>
      </c>
      <c r="S41">
        <v>22663.442999999999</v>
      </c>
      <c r="T41">
        <v>2855.58</v>
      </c>
      <c r="U41">
        <v>2432.2910000000002</v>
      </c>
      <c r="V41">
        <v>10987.754000000001</v>
      </c>
      <c r="W41">
        <v>6387.817</v>
      </c>
      <c r="Y41">
        <v>180352.829</v>
      </c>
      <c r="Z41">
        <v>8676.3889999999992</v>
      </c>
      <c r="AA41">
        <v>78237.036999999997</v>
      </c>
      <c r="AB41">
        <v>6459.7359999999999</v>
      </c>
      <c r="AC41">
        <v>59207.696000000004</v>
      </c>
      <c r="AD41">
        <v>27771.971000000001</v>
      </c>
      <c r="AF41">
        <v>890293.84199999995</v>
      </c>
      <c r="AH41">
        <v>29491.669000000002</v>
      </c>
      <c r="AI41">
        <v>90228.326000000001</v>
      </c>
      <c r="AJ41">
        <v>10535.047</v>
      </c>
      <c r="AK41">
        <v>8980.8140000000003</v>
      </c>
      <c r="AL41">
        <v>2807.7429999999999</v>
      </c>
      <c r="AM41">
        <v>1520.422</v>
      </c>
      <c r="AN41">
        <v>2703.85</v>
      </c>
      <c r="AO41">
        <v>1948.799</v>
      </c>
      <c r="AP41">
        <v>26816.002</v>
      </c>
      <c r="AQ41">
        <v>14898.695</v>
      </c>
      <c r="AR41">
        <v>6493.2420000000002</v>
      </c>
      <c r="AS41">
        <v>3571.0709999999999</v>
      </c>
      <c r="AT41">
        <v>828.18399999999997</v>
      </c>
      <c r="AU41">
        <v>1024.81</v>
      </c>
      <c r="AV41">
        <v>27176.084999999999</v>
      </c>
      <c r="AW41">
        <v>25237.581999999999</v>
      </c>
      <c r="AX41">
        <v>1339.24</v>
      </c>
      <c r="AY41">
        <v>599.26300000000003</v>
      </c>
      <c r="AZ41">
        <v>54563.758000000002</v>
      </c>
      <c r="BA41">
        <v>2811.7539999999999</v>
      </c>
      <c r="BB41">
        <v>25107.914000000001</v>
      </c>
      <c r="BC41">
        <v>18839.418000000001</v>
      </c>
      <c r="BD41">
        <v>7804.6719999999996</v>
      </c>
      <c r="BE41">
        <v>12701.852999999999</v>
      </c>
      <c r="BF41">
        <v>2619.52</v>
      </c>
      <c r="BG41">
        <v>3723.3470000000002</v>
      </c>
      <c r="BH41">
        <v>3735.018</v>
      </c>
      <c r="BI41">
        <v>323.69</v>
      </c>
      <c r="BJ41">
        <v>1744.5830000000001</v>
      </c>
      <c r="BK41">
        <v>555.69600000000003</v>
      </c>
    </row>
    <row r="42" spans="1:63" x14ac:dyDescent="0.2">
      <c r="A42">
        <v>1998</v>
      </c>
      <c r="B42">
        <v>98469.542000000001</v>
      </c>
      <c r="C42">
        <v>27046.560000000001</v>
      </c>
      <c r="D42">
        <v>39139.964</v>
      </c>
      <c r="E42">
        <v>172478.99299999999</v>
      </c>
      <c r="F42">
        <v>40096.438000000002</v>
      </c>
      <c r="G42">
        <v>25769.181</v>
      </c>
      <c r="H42">
        <v>100426.253</v>
      </c>
      <c r="I42">
        <v>16717.171999999999</v>
      </c>
      <c r="J42">
        <v>67010.395000000004</v>
      </c>
      <c r="K42">
        <v>5005.2219999999998</v>
      </c>
      <c r="L42">
        <v>44589.353999999999</v>
      </c>
      <c r="M42">
        <v>86761.909</v>
      </c>
      <c r="N42">
        <v>-7338.817</v>
      </c>
      <c r="P42">
        <v>716172.16700000002</v>
      </c>
      <c r="Q42">
        <v>704909.34699999995</v>
      </c>
      <c r="S42">
        <v>24188.359</v>
      </c>
      <c r="T42">
        <v>2967.0740000000001</v>
      </c>
      <c r="U42">
        <v>2522.7350000000001</v>
      </c>
      <c r="V42">
        <v>11584.339</v>
      </c>
      <c r="W42">
        <v>7114.2110000000002</v>
      </c>
      <c r="Y42">
        <v>185715.976</v>
      </c>
      <c r="Z42">
        <v>9034.5409999999993</v>
      </c>
      <c r="AA42">
        <v>81001.906000000003</v>
      </c>
      <c r="AB42">
        <v>6550.7139999999999</v>
      </c>
      <c r="AC42">
        <v>61080.671999999999</v>
      </c>
      <c r="AD42">
        <v>28048.144</v>
      </c>
      <c r="AF42">
        <v>926076.50199999998</v>
      </c>
      <c r="AH42">
        <v>30612.143</v>
      </c>
      <c r="AI42">
        <v>94138.900999999998</v>
      </c>
      <c r="AJ42">
        <v>10821.014999999999</v>
      </c>
      <c r="AK42">
        <v>9387.7000000000007</v>
      </c>
      <c r="AL42">
        <v>2915.491</v>
      </c>
      <c r="AM42">
        <v>1609.9939999999999</v>
      </c>
      <c r="AN42">
        <v>2868.46</v>
      </c>
      <c r="AO42">
        <v>1993.7550000000001</v>
      </c>
      <c r="AP42">
        <v>27519.236000000001</v>
      </c>
      <c r="AQ42">
        <v>15229.429</v>
      </c>
      <c r="AR42">
        <v>7182.6580000000004</v>
      </c>
      <c r="AS42">
        <v>3211.7950000000001</v>
      </c>
      <c r="AT42">
        <v>829.28399999999999</v>
      </c>
      <c r="AU42">
        <v>1066.07</v>
      </c>
      <c r="AV42">
        <v>31143.797999999999</v>
      </c>
      <c r="AW42">
        <v>29071.706999999999</v>
      </c>
      <c r="AX42">
        <v>1493.623</v>
      </c>
      <c r="AY42">
        <v>578.46799999999996</v>
      </c>
      <c r="AZ42">
        <v>55846.097999999998</v>
      </c>
      <c r="BA42">
        <v>2940.4740000000002</v>
      </c>
      <c r="BB42">
        <v>24733.170999999998</v>
      </c>
      <c r="BC42">
        <v>19591.396000000001</v>
      </c>
      <c r="BD42">
        <v>8581.0580000000009</v>
      </c>
      <c r="BE42">
        <v>13436.357</v>
      </c>
      <c r="BF42">
        <v>2798.39</v>
      </c>
      <c r="BG42">
        <v>3920.0140000000001</v>
      </c>
      <c r="BH42">
        <v>4026.866</v>
      </c>
      <c r="BI42">
        <v>278.88</v>
      </c>
      <c r="BJ42">
        <v>1826.31</v>
      </c>
      <c r="BK42">
        <v>585.89700000000005</v>
      </c>
    </row>
    <row r="43" spans="1:63" x14ac:dyDescent="0.2">
      <c r="A43">
        <v>1999</v>
      </c>
      <c r="B43">
        <v>100261.67</v>
      </c>
      <c r="C43">
        <v>28201.934000000001</v>
      </c>
      <c r="D43">
        <v>39583.684999999998</v>
      </c>
      <c r="E43">
        <v>176933.68599999999</v>
      </c>
      <c r="F43">
        <v>41322.061999999998</v>
      </c>
      <c r="G43">
        <v>26717.458999999999</v>
      </c>
      <c r="H43">
        <v>107386.121</v>
      </c>
      <c r="I43">
        <v>18993.876</v>
      </c>
      <c r="J43">
        <v>70058.252999999997</v>
      </c>
      <c r="K43">
        <v>5123.6099999999997</v>
      </c>
      <c r="L43">
        <v>47182.849000000002</v>
      </c>
      <c r="M43">
        <v>85268.4</v>
      </c>
      <c r="N43">
        <v>-9565.6620000000003</v>
      </c>
      <c r="P43">
        <v>737466.33799999999</v>
      </c>
      <c r="Q43">
        <v>732038.33799999999</v>
      </c>
      <c r="S43">
        <v>25377</v>
      </c>
      <c r="T43">
        <v>3082</v>
      </c>
      <c r="U43">
        <v>2519</v>
      </c>
      <c r="V43">
        <v>11973</v>
      </c>
      <c r="W43">
        <v>7803</v>
      </c>
      <c r="Y43">
        <v>192511</v>
      </c>
      <c r="Z43">
        <v>9624</v>
      </c>
      <c r="AA43">
        <v>84320.994999999995</v>
      </c>
      <c r="AB43">
        <v>6818</v>
      </c>
      <c r="AC43">
        <v>63496</v>
      </c>
      <c r="AD43">
        <v>28252.2</v>
      </c>
      <c r="AF43">
        <v>955354.33799999999</v>
      </c>
      <c r="AH43">
        <v>31344.04</v>
      </c>
      <c r="AI43">
        <v>97901.71</v>
      </c>
      <c r="AJ43">
        <v>10975.361999999999</v>
      </c>
      <c r="AK43">
        <v>9796.9480000000003</v>
      </c>
      <c r="AL43">
        <v>3002</v>
      </c>
      <c r="AM43">
        <v>1789</v>
      </c>
      <c r="AN43">
        <v>3008</v>
      </c>
      <c r="AO43">
        <v>1997.9480000000001</v>
      </c>
      <c r="AP43">
        <v>26915.724999999999</v>
      </c>
      <c r="AQ43">
        <v>14840</v>
      </c>
      <c r="AR43">
        <v>6790.049</v>
      </c>
      <c r="AS43">
        <v>3369.567</v>
      </c>
      <c r="AT43">
        <v>829.11</v>
      </c>
      <c r="AU43">
        <v>1087</v>
      </c>
      <c r="AV43">
        <v>34640.853000000003</v>
      </c>
      <c r="AW43">
        <v>32375.476999999999</v>
      </c>
      <c r="AX43">
        <v>1660.374</v>
      </c>
      <c r="AY43">
        <v>605.00199999999995</v>
      </c>
      <c r="AZ43">
        <v>58466.313000000002</v>
      </c>
      <c r="BA43">
        <v>3035.8820000000001</v>
      </c>
      <c r="BB43">
        <v>26028.013999999999</v>
      </c>
      <c r="BC43">
        <v>20485.705000000002</v>
      </c>
      <c r="BD43">
        <v>8916.7119999999995</v>
      </c>
      <c r="BE43">
        <v>14278.955</v>
      </c>
      <c r="BF43">
        <v>2944</v>
      </c>
      <c r="BG43">
        <v>4029.75</v>
      </c>
      <c r="BH43">
        <v>4496</v>
      </c>
      <c r="BI43">
        <v>276</v>
      </c>
      <c r="BJ43">
        <v>1916.25</v>
      </c>
      <c r="BK43">
        <v>616.95500000000004</v>
      </c>
    </row>
    <row r="44" spans="1:63" x14ac:dyDescent="0.2">
      <c r="A44">
        <v>2000</v>
      </c>
      <c r="B44">
        <v>104562.342</v>
      </c>
      <c r="C44">
        <v>29410.99</v>
      </c>
      <c r="D44">
        <v>41104.107000000004</v>
      </c>
      <c r="E44">
        <v>183116.33499999999</v>
      </c>
      <c r="F44">
        <v>43237.355000000003</v>
      </c>
      <c r="G44">
        <v>28268.904999999999</v>
      </c>
      <c r="H44">
        <v>113747.965</v>
      </c>
      <c r="I44">
        <v>21781.98</v>
      </c>
      <c r="J44">
        <v>74653.987999999998</v>
      </c>
      <c r="K44">
        <v>5148.96</v>
      </c>
      <c r="L44">
        <v>51086.686000000002</v>
      </c>
      <c r="M44">
        <v>97067.801000000007</v>
      </c>
      <c r="N44">
        <v>-11483.999</v>
      </c>
      <c r="P44">
        <v>781704.00100000005</v>
      </c>
      <c r="Q44">
        <v>769894.00100000005</v>
      </c>
      <c r="S44">
        <v>26933</v>
      </c>
      <c r="T44">
        <v>3631</v>
      </c>
      <c r="U44">
        <v>2671</v>
      </c>
      <c r="V44">
        <v>12651</v>
      </c>
      <c r="W44">
        <v>7980</v>
      </c>
      <c r="Y44">
        <v>201633</v>
      </c>
      <c r="Z44">
        <v>9780</v>
      </c>
      <c r="AA44">
        <v>88545.597999999998</v>
      </c>
      <c r="AB44">
        <v>8029</v>
      </c>
      <c r="AC44">
        <v>66239</v>
      </c>
      <c r="AD44">
        <v>29039.200000000001</v>
      </c>
      <c r="AF44">
        <v>1010270.001</v>
      </c>
      <c r="AH44">
        <v>31940.81</v>
      </c>
      <c r="AI44">
        <v>101745.78</v>
      </c>
      <c r="AJ44">
        <v>11157.218999999999</v>
      </c>
      <c r="AK44">
        <v>10055.412</v>
      </c>
      <c r="AL44">
        <v>3038</v>
      </c>
      <c r="AM44">
        <v>1842</v>
      </c>
      <c r="AN44">
        <v>3083</v>
      </c>
      <c r="AO44">
        <v>2092.4119999999998</v>
      </c>
      <c r="AP44">
        <v>28217.041000000001</v>
      </c>
      <c r="AQ44">
        <v>14735</v>
      </c>
      <c r="AR44">
        <v>7078.5709999999999</v>
      </c>
      <c r="AS44">
        <v>4413.3909999999996</v>
      </c>
      <c r="AT44">
        <v>881.08</v>
      </c>
      <c r="AU44">
        <v>1109</v>
      </c>
      <c r="AV44">
        <v>34884.271999999997</v>
      </c>
      <c r="AW44">
        <v>32609.124</v>
      </c>
      <c r="AX44">
        <v>1643.0360000000001</v>
      </c>
      <c r="AY44">
        <v>632.11099999999999</v>
      </c>
      <c r="AZ44">
        <v>63521.953000000001</v>
      </c>
      <c r="BA44">
        <v>3132.0250000000001</v>
      </c>
      <c r="BB44">
        <v>29874.616999999998</v>
      </c>
      <c r="BC44">
        <v>21192.387999999999</v>
      </c>
      <c r="BD44">
        <v>9322.9230000000007</v>
      </c>
      <c r="BE44">
        <v>15341.74</v>
      </c>
      <c r="BF44">
        <v>3159</v>
      </c>
      <c r="BG44">
        <v>4188.25</v>
      </c>
      <c r="BH44">
        <v>5019</v>
      </c>
      <c r="BI44">
        <v>290</v>
      </c>
      <c r="BJ44">
        <v>2034.75</v>
      </c>
      <c r="BK44">
        <v>650.74</v>
      </c>
    </row>
    <row r="45" spans="1:63" x14ac:dyDescent="0.2">
      <c r="A45">
        <v>2001</v>
      </c>
      <c r="B45">
        <v>110621.837</v>
      </c>
      <c r="C45">
        <v>30718.222000000002</v>
      </c>
      <c r="D45">
        <v>41360.048000000003</v>
      </c>
      <c r="E45">
        <v>190873.75200000001</v>
      </c>
      <c r="F45">
        <v>44153.538</v>
      </c>
      <c r="G45">
        <v>29603.884999999998</v>
      </c>
      <c r="H45">
        <v>116759.46</v>
      </c>
      <c r="I45">
        <v>24079.806</v>
      </c>
      <c r="J45">
        <v>77697.767999999996</v>
      </c>
      <c r="K45">
        <v>5328.3919999999998</v>
      </c>
      <c r="L45">
        <v>53188.351000000002</v>
      </c>
      <c r="M45">
        <v>103211.307</v>
      </c>
      <c r="N45">
        <v>-11051.564</v>
      </c>
      <c r="P45">
        <v>816548.43599999999</v>
      </c>
      <c r="Q45">
        <v>800940.43599999999</v>
      </c>
      <c r="S45">
        <v>28923</v>
      </c>
      <c r="T45">
        <v>3833</v>
      </c>
      <c r="U45">
        <v>2726</v>
      </c>
      <c r="V45">
        <v>14044</v>
      </c>
      <c r="W45">
        <v>8320</v>
      </c>
      <c r="Y45">
        <v>210516</v>
      </c>
      <c r="Z45">
        <v>10173</v>
      </c>
      <c r="AA45">
        <v>93467.527000000002</v>
      </c>
      <c r="AB45">
        <v>8826</v>
      </c>
      <c r="AC45">
        <v>68464</v>
      </c>
      <c r="AD45">
        <v>29585.22</v>
      </c>
      <c r="AF45">
        <v>1055987.436</v>
      </c>
      <c r="AH45">
        <v>32187.164000000001</v>
      </c>
      <c r="AI45">
        <v>106146.242</v>
      </c>
      <c r="AJ45">
        <v>11578.36</v>
      </c>
      <c r="AK45">
        <v>10387.958000000001</v>
      </c>
      <c r="AL45">
        <v>3113</v>
      </c>
      <c r="AM45">
        <v>1949</v>
      </c>
      <c r="AN45">
        <v>3137</v>
      </c>
      <c r="AO45">
        <v>2188.9580000000001</v>
      </c>
      <c r="AP45">
        <v>30573.542000000001</v>
      </c>
      <c r="AQ45">
        <v>15246</v>
      </c>
      <c r="AR45">
        <v>8758.8320000000003</v>
      </c>
      <c r="AS45">
        <v>4517.62</v>
      </c>
      <c r="AT45">
        <v>924.09</v>
      </c>
      <c r="AU45">
        <v>1127</v>
      </c>
      <c r="AV45">
        <v>37240.544999999998</v>
      </c>
      <c r="AW45">
        <v>35002.860999999997</v>
      </c>
      <c r="AX45">
        <v>1674.384</v>
      </c>
      <c r="AY45">
        <v>563.29999999999995</v>
      </c>
      <c r="AZ45">
        <v>63565.006000000001</v>
      </c>
      <c r="BA45">
        <v>3232.2840000000001</v>
      </c>
      <c r="BB45">
        <v>28817.018</v>
      </c>
      <c r="BC45">
        <v>22083.379000000001</v>
      </c>
      <c r="BD45">
        <v>9432.3240000000005</v>
      </c>
      <c r="BE45">
        <v>15953.91</v>
      </c>
      <c r="BF45">
        <v>3327</v>
      </c>
      <c r="BG45">
        <v>4355.25</v>
      </c>
      <c r="BH45">
        <v>5182</v>
      </c>
      <c r="BI45">
        <v>305</v>
      </c>
      <c r="BJ45">
        <v>2094.75</v>
      </c>
      <c r="BK45">
        <v>689.91</v>
      </c>
    </row>
    <row r="46" spans="1:63" x14ac:dyDescent="0.2">
      <c r="A46">
        <v>2002</v>
      </c>
      <c r="B46">
        <v>114797.952</v>
      </c>
      <c r="C46">
        <v>31952.787</v>
      </c>
      <c r="D46">
        <v>42927.885999999999</v>
      </c>
      <c r="E46">
        <v>197437.74299999999</v>
      </c>
      <c r="F46">
        <v>45821.567999999999</v>
      </c>
      <c r="G46">
        <v>31082.274000000001</v>
      </c>
      <c r="H46">
        <v>118360.91099999999</v>
      </c>
      <c r="I46">
        <v>26555.51</v>
      </c>
      <c r="J46">
        <v>81551.264999999999</v>
      </c>
      <c r="K46">
        <v>5567.92</v>
      </c>
      <c r="L46">
        <v>55521.498</v>
      </c>
      <c r="M46">
        <v>100844.713</v>
      </c>
      <c r="N46">
        <v>-12167.867</v>
      </c>
      <c r="P46">
        <v>840252.13300000003</v>
      </c>
      <c r="Q46">
        <v>828798.13300000003</v>
      </c>
      <c r="S46">
        <v>30267</v>
      </c>
      <c r="T46">
        <v>4028</v>
      </c>
      <c r="U46">
        <v>2755</v>
      </c>
      <c r="V46">
        <v>15122</v>
      </c>
      <c r="W46">
        <v>8362</v>
      </c>
      <c r="Y46">
        <v>226327</v>
      </c>
      <c r="Z46">
        <v>10875</v>
      </c>
      <c r="AA46">
        <v>100049.91899999999</v>
      </c>
      <c r="AB46">
        <v>10675</v>
      </c>
      <c r="AC46">
        <v>72889</v>
      </c>
      <c r="AD46">
        <v>31838.22</v>
      </c>
      <c r="AF46">
        <v>1096846.1329999999</v>
      </c>
      <c r="AH46">
        <v>33443.211000000003</v>
      </c>
      <c r="AI46">
        <v>111462.177</v>
      </c>
      <c r="AJ46">
        <v>12170.308000000001</v>
      </c>
      <c r="AK46">
        <v>10908.359</v>
      </c>
      <c r="AL46">
        <v>3209</v>
      </c>
      <c r="AM46">
        <v>2134</v>
      </c>
      <c r="AN46">
        <v>3343</v>
      </c>
      <c r="AO46">
        <v>2222.3589999999999</v>
      </c>
      <c r="AP46">
        <v>29453.562999999998</v>
      </c>
      <c r="AQ46">
        <v>15269</v>
      </c>
      <c r="AR46">
        <v>8093.1840000000002</v>
      </c>
      <c r="AS46">
        <v>4079.2190000000001</v>
      </c>
      <c r="AT46">
        <v>810.16</v>
      </c>
      <c r="AU46">
        <v>1202</v>
      </c>
      <c r="AV46">
        <v>36920.267</v>
      </c>
      <c r="AW46">
        <v>34628.525000000001</v>
      </c>
      <c r="AX46">
        <v>1638.8420000000001</v>
      </c>
      <c r="AY46">
        <v>652.899</v>
      </c>
      <c r="AZ46">
        <v>64699.464</v>
      </c>
      <c r="BA46">
        <v>3447.2310000000002</v>
      </c>
      <c r="BB46">
        <v>27977.71</v>
      </c>
      <c r="BC46">
        <v>23337.014999999999</v>
      </c>
      <c r="BD46">
        <v>9937.5079999999998</v>
      </c>
      <c r="BE46">
        <v>16741.18</v>
      </c>
      <c r="BF46">
        <v>3509</v>
      </c>
      <c r="BG46">
        <v>4574.5</v>
      </c>
      <c r="BH46">
        <v>5417</v>
      </c>
      <c r="BI46">
        <v>324</v>
      </c>
      <c r="BJ46">
        <v>2188.5</v>
      </c>
      <c r="BK46">
        <v>728.18</v>
      </c>
    </row>
    <row r="47" spans="1:63" x14ac:dyDescent="0.2">
      <c r="A47">
        <v>2003</v>
      </c>
      <c r="B47">
        <v>119107.584</v>
      </c>
      <c r="C47">
        <v>31959.146000000001</v>
      </c>
      <c r="D47">
        <v>44128.428999999996</v>
      </c>
      <c r="E47">
        <v>207382.66500000001</v>
      </c>
      <c r="F47">
        <v>47536.832000000002</v>
      </c>
      <c r="G47">
        <v>32752.559000000001</v>
      </c>
      <c r="H47">
        <v>119101.84</v>
      </c>
      <c r="I47">
        <v>28289.202000000001</v>
      </c>
      <c r="J47">
        <v>84333.066000000006</v>
      </c>
      <c r="K47">
        <v>5920.5450000000001</v>
      </c>
      <c r="L47">
        <v>57824.93</v>
      </c>
      <c r="M47">
        <v>100555.51700000001</v>
      </c>
      <c r="N47">
        <v>-10367.708000000001</v>
      </c>
      <c r="P47">
        <v>868521.29200000002</v>
      </c>
      <c r="Q47">
        <v>858460.29200000002</v>
      </c>
      <c r="S47">
        <v>30264</v>
      </c>
      <c r="T47">
        <v>4028</v>
      </c>
      <c r="U47">
        <v>2754</v>
      </c>
      <c r="V47">
        <v>15120</v>
      </c>
      <c r="W47">
        <v>8362</v>
      </c>
      <c r="Y47">
        <v>239418</v>
      </c>
      <c r="Z47">
        <v>11154</v>
      </c>
      <c r="AA47">
        <v>106777.397</v>
      </c>
      <c r="AB47">
        <v>11614</v>
      </c>
      <c r="AC47">
        <v>75322</v>
      </c>
      <c r="AD47">
        <v>34551</v>
      </c>
      <c r="AF47">
        <v>1138203.2919999999</v>
      </c>
      <c r="AH47">
        <v>35136.364000000001</v>
      </c>
      <c r="AI47">
        <v>116515.936</v>
      </c>
      <c r="AJ47">
        <v>12301.084000000001</v>
      </c>
      <c r="AK47">
        <v>11484.746999999999</v>
      </c>
      <c r="AL47">
        <v>3434</v>
      </c>
      <c r="AM47">
        <v>2331</v>
      </c>
      <c r="AN47">
        <v>3429</v>
      </c>
      <c r="AO47">
        <v>2290.7469999999998</v>
      </c>
      <c r="AP47">
        <v>31944.562000000002</v>
      </c>
      <c r="AQ47">
        <v>16348</v>
      </c>
      <c r="AR47">
        <v>9130.8940000000002</v>
      </c>
      <c r="AS47">
        <v>4500.6679999999997</v>
      </c>
      <c r="AT47">
        <v>750</v>
      </c>
      <c r="AU47">
        <v>1215</v>
      </c>
      <c r="AV47">
        <v>35603.966999999997</v>
      </c>
      <c r="AW47">
        <v>33215.175999999999</v>
      </c>
      <c r="AX47">
        <v>1674.691</v>
      </c>
      <c r="AY47">
        <v>714.1</v>
      </c>
      <c r="AZ47">
        <v>66373.418999999994</v>
      </c>
      <c r="BA47">
        <v>3651.6149999999998</v>
      </c>
      <c r="BB47">
        <v>28477.960999999999</v>
      </c>
      <c r="BC47">
        <v>24302.117999999999</v>
      </c>
      <c r="BD47">
        <v>9941.723</v>
      </c>
      <c r="BE47">
        <v>17124.455000000002</v>
      </c>
      <c r="BF47">
        <v>3560</v>
      </c>
      <c r="BG47">
        <v>4687.5</v>
      </c>
      <c r="BH47">
        <v>5538</v>
      </c>
      <c r="BI47">
        <v>333</v>
      </c>
      <c r="BJ47">
        <v>2269.5</v>
      </c>
      <c r="BK47">
        <v>736.45500000000004</v>
      </c>
    </row>
    <row r="48" spans="1:63" x14ac:dyDescent="0.2">
      <c r="A48">
        <v>2004</v>
      </c>
      <c r="B48">
        <v>120926.77499999999</v>
      </c>
      <c r="C48">
        <v>32679.255000000001</v>
      </c>
      <c r="D48">
        <v>44812.271000000001</v>
      </c>
      <c r="E48">
        <v>217647.58199999999</v>
      </c>
      <c r="F48">
        <v>49643.714</v>
      </c>
      <c r="G48">
        <v>34803.315000000002</v>
      </c>
      <c r="H48">
        <v>125653.679</v>
      </c>
      <c r="I48">
        <v>29816.562999999998</v>
      </c>
      <c r="J48">
        <v>88518.149000000005</v>
      </c>
      <c r="K48">
        <v>6375.2780000000002</v>
      </c>
      <c r="L48">
        <v>59742.135999999999</v>
      </c>
      <c r="M48">
        <v>107356.285</v>
      </c>
      <c r="N48">
        <v>-12438.965</v>
      </c>
      <c r="P48">
        <v>905537.03500000003</v>
      </c>
      <c r="Q48">
        <v>895037.03500000003</v>
      </c>
      <c r="S48">
        <v>30942</v>
      </c>
      <c r="T48">
        <v>4117</v>
      </c>
      <c r="U48">
        <v>2816</v>
      </c>
      <c r="V48">
        <v>15461</v>
      </c>
      <c r="W48">
        <v>8548</v>
      </c>
      <c r="Y48">
        <v>248688</v>
      </c>
      <c r="Z48">
        <v>11655</v>
      </c>
      <c r="AA48">
        <v>112383.478</v>
      </c>
      <c r="AB48">
        <v>12204</v>
      </c>
      <c r="AC48">
        <v>75469</v>
      </c>
      <c r="AD48">
        <v>36977</v>
      </c>
      <c r="AF48">
        <v>1185167.0349999999</v>
      </c>
      <c r="AH48">
        <v>36708.074000000001</v>
      </c>
      <c r="AI48">
        <v>122339.68799999999</v>
      </c>
      <c r="AJ48">
        <v>12884.673000000001</v>
      </c>
      <c r="AK48">
        <v>12041.24</v>
      </c>
      <c r="AL48">
        <v>3498</v>
      </c>
      <c r="AM48">
        <v>2529</v>
      </c>
      <c r="AN48">
        <v>3518</v>
      </c>
      <c r="AO48">
        <v>2496.2399999999998</v>
      </c>
      <c r="AP48">
        <v>33673.930999999997</v>
      </c>
      <c r="AQ48">
        <v>17337</v>
      </c>
      <c r="AR48">
        <v>9223.9539999999997</v>
      </c>
      <c r="AS48">
        <v>5129.9780000000001</v>
      </c>
      <c r="AT48">
        <v>713</v>
      </c>
      <c r="AU48">
        <v>1270</v>
      </c>
      <c r="AV48">
        <v>37360.122000000003</v>
      </c>
      <c r="AW48">
        <v>34845.385000000002</v>
      </c>
      <c r="AX48">
        <v>1756.336</v>
      </c>
      <c r="AY48">
        <v>758.40099999999995</v>
      </c>
      <c r="AZ48">
        <v>69903.426000000007</v>
      </c>
      <c r="BA48">
        <v>3855.518</v>
      </c>
      <c r="BB48">
        <v>30067.644</v>
      </c>
      <c r="BC48">
        <v>25509.514999999999</v>
      </c>
      <c r="BD48">
        <v>10470.75</v>
      </c>
      <c r="BE48">
        <v>18390.13</v>
      </c>
      <c r="BF48">
        <v>3788</v>
      </c>
      <c r="BG48">
        <v>4962.5</v>
      </c>
      <c r="BH48">
        <v>6117</v>
      </c>
      <c r="BI48">
        <v>357</v>
      </c>
      <c r="BJ48">
        <v>2419.5</v>
      </c>
      <c r="BK48">
        <v>746.13</v>
      </c>
    </row>
    <row r="49" spans="1:63" x14ac:dyDescent="0.2">
      <c r="A49">
        <v>2005</v>
      </c>
      <c r="B49">
        <v>122819.235</v>
      </c>
      <c r="C49">
        <v>32544.972000000002</v>
      </c>
      <c r="D49">
        <v>45247.074999999997</v>
      </c>
      <c r="E49">
        <v>230321.88099999999</v>
      </c>
      <c r="F49">
        <v>51655.716999999997</v>
      </c>
      <c r="G49">
        <v>36550.925999999999</v>
      </c>
      <c r="H49">
        <v>133182.18400000001</v>
      </c>
      <c r="I49">
        <v>31299.29</v>
      </c>
      <c r="J49">
        <v>91313.304000000004</v>
      </c>
      <c r="K49">
        <v>6823.7079999999996</v>
      </c>
      <c r="L49">
        <v>62295.875999999997</v>
      </c>
      <c r="M49">
        <v>111857.042</v>
      </c>
      <c r="N49">
        <v>-10096.598</v>
      </c>
      <c r="P49">
        <v>945812.402</v>
      </c>
      <c r="Q49">
        <v>936284.402</v>
      </c>
      <c r="S49">
        <v>31751</v>
      </c>
      <c r="T49">
        <v>4398</v>
      </c>
      <c r="U49">
        <v>2876</v>
      </c>
      <c r="V49">
        <v>15790</v>
      </c>
      <c r="W49">
        <v>8687</v>
      </c>
      <c r="Y49">
        <v>259164</v>
      </c>
      <c r="Z49">
        <v>11745</v>
      </c>
      <c r="AA49">
        <v>116923.798</v>
      </c>
      <c r="AB49">
        <v>12867</v>
      </c>
      <c r="AC49">
        <v>77914</v>
      </c>
      <c r="AD49">
        <v>39714</v>
      </c>
      <c r="AF49">
        <v>1236727.402</v>
      </c>
      <c r="AH49">
        <v>38983.767999999996</v>
      </c>
      <c r="AI49">
        <v>129409.96400000001</v>
      </c>
      <c r="AJ49">
        <v>13390.017</v>
      </c>
      <c r="AK49">
        <v>12702.134</v>
      </c>
      <c r="AL49">
        <v>3599</v>
      </c>
      <c r="AM49">
        <v>2732</v>
      </c>
      <c r="AN49">
        <v>3696</v>
      </c>
      <c r="AO49">
        <v>2675.134</v>
      </c>
      <c r="AP49">
        <v>35835.688000000002</v>
      </c>
      <c r="AQ49">
        <v>17561</v>
      </c>
      <c r="AR49">
        <v>9670.9169999999995</v>
      </c>
      <c r="AS49">
        <v>6522.7709999999997</v>
      </c>
      <c r="AT49">
        <v>733</v>
      </c>
      <c r="AU49">
        <v>1348</v>
      </c>
      <c r="AV49">
        <v>38741.186999999998</v>
      </c>
      <c r="AW49">
        <v>36138.758999999998</v>
      </c>
      <c r="AX49">
        <v>1806.338</v>
      </c>
      <c r="AY49">
        <v>796.09</v>
      </c>
      <c r="AZ49">
        <v>74873.771999999997</v>
      </c>
      <c r="BA49">
        <v>4250.5810000000001</v>
      </c>
      <c r="BB49">
        <v>32826.053999999996</v>
      </c>
      <c r="BC49">
        <v>26927.723999999998</v>
      </c>
      <c r="BD49">
        <v>10869.412</v>
      </c>
      <c r="BE49">
        <v>19567.224999999999</v>
      </c>
      <c r="BF49">
        <v>3984</v>
      </c>
      <c r="BG49">
        <v>5291.25</v>
      </c>
      <c r="BH49">
        <v>6653</v>
      </c>
      <c r="BI49">
        <v>339</v>
      </c>
      <c r="BJ49">
        <v>2538.75</v>
      </c>
      <c r="BK49">
        <v>761.22500000000002</v>
      </c>
    </row>
    <row r="50" spans="1:63" x14ac:dyDescent="0.2">
      <c r="A50">
        <v>2006</v>
      </c>
      <c r="B50">
        <v>125968.75900000001</v>
      </c>
      <c r="C50">
        <v>33041.858999999997</v>
      </c>
      <c r="D50">
        <v>45877.648000000001</v>
      </c>
      <c r="E50">
        <v>242937.038</v>
      </c>
      <c r="F50">
        <v>53629.796999999999</v>
      </c>
      <c r="G50">
        <v>38573.243000000002</v>
      </c>
      <c r="H50">
        <v>137526.788</v>
      </c>
      <c r="I50">
        <v>31600.003000000001</v>
      </c>
      <c r="J50">
        <v>95093.133000000002</v>
      </c>
      <c r="K50">
        <v>7582.7190000000001</v>
      </c>
      <c r="L50">
        <v>65359.459000000003</v>
      </c>
      <c r="M50">
        <v>121243.33100000001</v>
      </c>
      <c r="N50">
        <v>-11270.878000000001</v>
      </c>
      <c r="P50">
        <v>987164.12199999997</v>
      </c>
      <c r="Q50">
        <v>975130.12199999997</v>
      </c>
      <c r="S50">
        <v>33626</v>
      </c>
      <c r="T50">
        <v>4841</v>
      </c>
      <c r="U50">
        <v>3030</v>
      </c>
      <c r="V50">
        <v>16653</v>
      </c>
      <c r="W50">
        <v>9102</v>
      </c>
      <c r="Y50">
        <v>268228</v>
      </c>
      <c r="Z50">
        <v>12105</v>
      </c>
      <c r="AA50">
        <v>121053.91099999999</v>
      </c>
      <c r="AB50">
        <v>13739</v>
      </c>
      <c r="AC50">
        <v>79375</v>
      </c>
      <c r="AD50">
        <v>41955</v>
      </c>
      <c r="AF50">
        <v>1289018.122</v>
      </c>
      <c r="AH50">
        <v>40946.582999999999</v>
      </c>
      <c r="AI50">
        <v>136047.992</v>
      </c>
      <c r="AJ50">
        <v>14435.421</v>
      </c>
      <c r="AK50">
        <v>13512.016</v>
      </c>
      <c r="AL50">
        <v>3864</v>
      </c>
      <c r="AM50">
        <v>2899</v>
      </c>
      <c r="AN50">
        <v>3867</v>
      </c>
      <c r="AO50">
        <v>2882.0160000000001</v>
      </c>
      <c r="AP50">
        <v>37995.002999999997</v>
      </c>
      <c r="AQ50">
        <v>17866</v>
      </c>
      <c r="AR50">
        <v>10910.197</v>
      </c>
      <c r="AS50">
        <v>6900.8059999999996</v>
      </c>
      <c r="AT50">
        <v>820</v>
      </c>
      <c r="AU50">
        <v>1498</v>
      </c>
      <c r="AV50">
        <v>38381.692999999999</v>
      </c>
      <c r="AW50">
        <v>35638.356</v>
      </c>
      <c r="AX50">
        <v>1926.75</v>
      </c>
      <c r="AY50">
        <v>816.58699999999999</v>
      </c>
      <c r="AZ50">
        <v>78311.004000000001</v>
      </c>
      <c r="BA50">
        <v>4687.4470000000001</v>
      </c>
      <c r="BB50">
        <v>34104.233999999997</v>
      </c>
      <c r="BC50">
        <v>28001.634999999998</v>
      </c>
      <c r="BD50">
        <v>11517.688</v>
      </c>
      <c r="BE50">
        <v>20834.09</v>
      </c>
      <c r="BF50">
        <v>4185</v>
      </c>
      <c r="BG50">
        <v>5527.5</v>
      </c>
      <c r="BH50">
        <v>7350</v>
      </c>
      <c r="BI50">
        <v>349</v>
      </c>
      <c r="BJ50">
        <v>2650.5</v>
      </c>
      <c r="BK50">
        <v>772.09</v>
      </c>
    </row>
    <row r="51" spans="1:63" x14ac:dyDescent="0.2">
      <c r="A51">
        <v>2007</v>
      </c>
      <c r="B51">
        <v>129695.67600000001</v>
      </c>
      <c r="C51">
        <v>33493.620000000003</v>
      </c>
      <c r="D51">
        <v>47136.34</v>
      </c>
      <c r="E51">
        <v>252162.35</v>
      </c>
      <c r="F51">
        <v>56507.811000000002</v>
      </c>
      <c r="G51">
        <v>40255.635999999999</v>
      </c>
      <c r="H51">
        <v>144548.89600000001</v>
      </c>
      <c r="I51">
        <v>32941.919999999998</v>
      </c>
      <c r="J51">
        <v>98265.807000000001</v>
      </c>
      <c r="K51">
        <v>8111.6049999999996</v>
      </c>
      <c r="L51">
        <v>68535.667000000001</v>
      </c>
      <c r="M51">
        <v>133101.633</v>
      </c>
      <c r="N51">
        <v>-12023.053</v>
      </c>
      <c r="P51">
        <v>1032729.947</v>
      </c>
      <c r="Q51">
        <v>1015865.947</v>
      </c>
      <c r="S51">
        <v>35678</v>
      </c>
      <c r="T51">
        <v>5128</v>
      </c>
      <c r="U51">
        <v>3037</v>
      </c>
      <c r="V51">
        <v>17492</v>
      </c>
      <c r="W51">
        <v>10021</v>
      </c>
      <c r="Y51">
        <v>279149</v>
      </c>
      <c r="Z51">
        <v>12286</v>
      </c>
      <c r="AA51">
        <v>126212.133</v>
      </c>
      <c r="AB51">
        <v>14497</v>
      </c>
      <c r="AC51">
        <v>82007</v>
      </c>
      <c r="AD51">
        <v>44147</v>
      </c>
      <c r="AF51">
        <v>1347556.9469999999</v>
      </c>
      <c r="AH51">
        <v>42869.800999999999</v>
      </c>
      <c r="AI51">
        <v>141996.109</v>
      </c>
      <c r="AJ51">
        <v>15614.337</v>
      </c>
      <c r="AK51">
        <v>14239.509</v>
      </c>
      <c r="AL51">
        <v>4076</v>
      </c>
      <c r="AM51">
        <v>3042</v>
      </c>
      <c r="AN51">
        <v>4115</v>
      </c>
      <c r="AO51">
        <v>3006.509</v>
      </c>
      <c r="AP51">
        <v>37443.031000000003</v>
      </c>
      <c r="AQ51">
        <v>17825</v>
      </c>
      <c r="AR51">
        <v>10728.231</v>
      </c>
      <c r="AS51">
        <v>6477.8</v>
      </c>
      <c r="AT51">
        <v>897</v>
      </c>
      <c r="AU51">
        <v>1515</v>
      </c>
      <c r="AV51">
        <v>40633.881000000001</v>
      </c>
      <c r="AW51">
        <v>37747.182000000001</v>
      </c>
      <c r="AX51">
        <v>2027.7950000000001</v>
      </c>
      <c r="AY51">
        <v>858.904</v>
      </c>
      <c r="AZ51">
        <v>81956.100000000006</v>
      </c>
      <c r="BA51">
        <v>5158.7460000000001</v>
      </c>
      <c r="BB51">
        <v>35001.103000000003</v>
      </c>
      <c r="BC51">
        <v>29618.995999999999</v>
      </c>
      <c r="BD51">
        <v>12177.254999999999</v>
      </c>
      <c r="BE51">
        <v>21958.915000000001</v>
      </c>
      <c r="BF51">
        <v>4375</v>
      </c>
      <c r="BG51">
        <v>5811</v>
      </c>
      <c r="BH51">
        <v>7848</v>
      </c>
      <c r="BI51">
        <v>366</v>
      </c>
      <c r="BJ51">
        <v>2757</v>
      </c>
      <c r="BK51">
        <v>801.91499999999996</v>
      </c>
    </row>
    <row r="52" spans="1:63" x14ac:dyDescent="0.2">
      <c r="A52">
        <v>2008</v>
      </c>
      <c r="B52">
        <v>135889.87700000001</v>
      </c>
      <c r="C52">
        <v>33829.044999999998</v>
      </c>
      <c r="D52">
        <v>46410.44</v>
      </c>
      <c r="E52">
        <v>263530.18699999998</v>
      </c>
      <c r="F52">
        <v>55776.966</v>
      </c>
      <c r="G52">
        <v>42331.461000000003</v>
      </c>
      <c r="H52">
        <v>148725.913</v>
      </c>
      <c r="I52">
        <v>34026.343999999997</v>
      </c>
      <c r="J52">
        <v>98090.997000000003</v>
      </c>
      <c r="K52">
        <v>8808.1640000000007</v>
      </c>
      <c r="L52">
        <v>69302.892000000007</v>
      </c>
      <c r="M52">
        <v>140531.43599999999</v>
      </c>
      <c r="N52">
        <v>-10655.903</v>
      </c>
      <c r="P52">
        <v>1066598.0970000001</v>
      </c>
      <c r="Q52">
        <v>1046681.097</v>
      </c>
      <c r="S52">
        <v>36192</v>
      </c>
      <c r="T52">
        <v>5138</v>
      </c>
      <c r="U52">
        <v>3230</v>
      </c>
      <c r="V52">
        <v>17991</v>
      </c>
      <c r="W52">
        <v>9833</v>
      </c>
      <c r="Y52">
        <v>288857</v>
      </c>
      <c r="Z52">
        <v>13198</v>
      </c>
      <c r="AA52">
        <v>129023.32</v>
      </c>
      <c r="AB52">
        <v>15391</v>
      </c>
      <c r="AC52">
        <v>85576</v>
      </c>
      <c r="AD52">
        <v>45669</v>
      </c>
      <c r="AF52">
        <v>1391647.0970000001</v>
      </c>
      <c r="AH52">
        <v>43659.135000000002</v>
      </c>
      <c r="AI52">
        <v>146244.829</v>
      </c>
      <c r="AJ52">
        <v>16170.659</v>
      </c>
      <c r="AK52">
        <v>14767.195</v>
      </c>
      <c r="AL52">
        <v>4183</v>
      </c>
      <c r="AM52">
        <v>3190</v>
      </c>
      <c r="AN52">
        <v>4355</v>
      </c>
      <c r="AO52">
        <v>3039.1950000000002</v>
      </c>
      <c r="AP52">
        <v>42687.599000000002</v>
      </c>
      <c r="AQ52">
        <v>19065</v>
      </c>
      <c r="AR52">
        <v>11930.422</v>
      </c>
      <c r="AS52">
        <v>8991.9760000000006</v>
      </c>
      <c r="AT52">
        <v>995.2</v>
      </c>
      <c r="AU52">
        <v>1705</v>
      </c>
      <c r="AV52">
        <v>38624.188999999998</v>
      </c>
      <c r="AW52">
        <v>35672.182999999997</v>
      </c>
      <c r="AX52">
        <v>2083.654</v>
      </c>
      <c r="AY52">
        <v>868.35299999999995</v>
      </c>
      <c r="AZ52">
        <v>86566.793999999994</v>
      </c>
      <c r="BA52">
        <v>5225.9089999999997</v>
      </c>
      <c r="BB52">
        <v>38219.718000000001</v>
      </c>
      <c r="BC52">
        <v>30486.616000000002</v>
      </c>
      <c r="BD52">
        <v>12634.55</v>
      </c>
      <c r="BE52">
        <v>23534.93</v>
      </c>
      <c r="BF52">
        <v>4789</v>
      </c>
      <c r="BG52">
        <v>6046.5</v>
      </c>
      <c r="BH52">
        <v>8604</v>
      </c>
      <c r="BI52">
        <v>370</v>
      </c>
      <c r="BJ52">
        <v>2917.5</v>
      </c>
      <c r="BK52">
        <v>807.93</v>
      </c>
    </row>
    <row r="53" spans="1:63" x14ac:dyDescent="0.2">
      <c r="A53">
        <v>2009</v>
      </c>
      <c r="B53">
        <v>136257.20699999999</v>
      </c>
      <c r="C53">
        <v>34875.987000000001</v>
      </c>
      <c r="D53">
        <v>44999.938999999998</v>
      </c>
      <c r="E53">
        <v>266852.83</v>
      </c>
      <c r="F53">
        <v>54630.252</v>
      </c>
      <c r="G53">
        <v>43541.212</v>
      </c>
      <c r="H53">
        <v>142987.03</v>
      </c>
      <c r="I53">
        <v>34346.928999999996</v>
      </c>
      <c r="J53">
        <v>96322.165999999997</v>
      </c>
      <c r="K53">
        <v>8992.3279999999995</v>
      </c>
      <c r="L53">
        <v>68103.356</v>
      </c>
      <c r="M53">
        <v>127868.58100000001</v>
      </c>
      <c r="N53">
        <v>-8316</v>
      </c>
      <c r="P53">
        <v>1051463.202</v>
      </c>
      <c r="Q53">
        <v>1038914.202</v>
      </c>
      <c r="S53">
        <v>38143</v>
      </c>
      <c r="T53">
        <v>5421</v>
      </c>
      <c r="U53">
        <v>3347</v>
      </c>
      <c r="V53">
        <v>18940</v>
      </c>
      <c r="W53">
        <v>10435</v>
      </c>
      <c r="Y53">
        <v>298600</v>
      </c>
      <c r="Z53">
        <v>13581</v>
      </c>
      <c r="AA53">
        <v>133696</v>
      </c>
      <c r="AB53">
        <v>15923</v>
      </c>
      <c r="AC53">
        <v>87657</v>
      </c>
      <c r="AD53">
        <v>47743</v>
      </c>
      <c r="AF53">
        <v>1388206.202</v>
      </c>
      <c r="AH53">
        <v>45174.709000000003</v>
      </c>
      <c r="AI53">
        <v>150170</v>
      </c>
      <c r="AJ53">
        <v>15778.960999999999</v>
      </c>
      <c r="AK53">
        <v>15355.013999999999</v>
      </c>
      <c r="AL53">
        <v>4361</v>
      </c>
      <c r="AM53">
        <v>3410</v>
      </c>
      <c r="AN53">
        <v>4499</v>
      </c>
      <c r="AO53">
        <v>3085.0140000000001</v>
      </c>
      <c r="AP53">
        <v>40374.559000000001</v>
      </c>
      <c r="AQ53">
        <v>19836</v>
      </c>
      <c r="AR53">
        <v>11768.075999999999</v>
      </c>
      <c r="AS53">
        <v>5965.1930000000002</v>
      </c>
      <c r="AT53">
        <v>1081.29</v>
      </c>
      <c r="AU53">
        <v>1724</v>
      </c>
      <c r="AV53">
        <v>40706.004000000001</v>
      </c>
      <c r="AW53">
        <v>38044.139000000003</v>
      </c>
      <c r="AX53">
        <v>1830.665</v>
      </c>
      <c r="AY53">
        <v>831.2</v>
      </c>
      <c r="AZ53">
        <v>78483.436000000002</v>
      </c>
      <c r="BA53">
        <v>4911.3909999999996</v>
      </c>
      <c r="BB53">
        <v>31379.321</v>
      </c>
      <c r="BC53">
        <v>29249.087</v>
      </c>
      <c r="BD53">
        <v>12943.637000000001</v>
      </c>
      <c r="BE53">
        <v>23797.59</v>
      </c>
      <c r="BF53">
        <v>4829</v>
      </c>
      <c r="BG53">
        <v>6132.25</v>
      </c>
      <c r="BH53">
        <v>8729</v>
      </c>
      <c r="BI53">
        <v>379</v>
      </c>
      <c r="BJ53">
        <v>2982.75</v>
      </c>
      <c r="BK53">
        <v>745.59</v>
      </c>
    </row>
    <row r="54" spans="1:63" x14ac:dyDescent="0.2">
      <c r="A54">
        <v>2010</v>
      </c>
      <c r="B54">
        <v>140594.603</v>
      </c>
      <c r="C54">
        <v>36502.868999999999</v>
      </c>
      <c r="D54">
        <v>45066.165999999997</v>
      </c>
      <c r="E54">
        <v>276781.962</v>
      </c>
      <c r="F54">
        <v>56023.633999999998</v>
      </c>
      <c r="G54">
        <v>44609.120000000003</v>
      </c>
      <c r="H54">
        <v>146737.65299999999</v>
      </c>
      <c r="I54">
        <v>34402.773999999998</v>
      </c>
      <c r="J54">
        <v>97463.081999999995</v>
      </c>
      <c r="K54">
        <v>9400.6299999999992</v>
      </c>
      <c r="L54">
        <v>69640.732000000004</v>
      </c>
      <c r="M54">
        <v>131392.39199999999</v>
      </c>
      <c r="N54">
        <v>-6221</v>
      </c>
      <c r="P54">
        <v>1082393.7</v>
      </c>
      <c r="Q54">
        <v>1073528.7</v>
      </c>
      <c r="S54">
        <v>39623</v>
      </c>
      <c r="T54">
        <v>5724</v>
      </c>
      <c r="U54">
        <v>3485</v>
      </c>
      <c r="V54">
        <v>19689</v>
      </c>
      <c r="W54">
        <v>10725</v>
      </c>
      <c r="Y54">
        <v>307824</v>
      </c>
      <c r="Z54">
        <v>13892</v>
      </c>
      <c r="AA54">
        <v>137483</v>
      </c>
      <c r="AB54">
        <v>16934</v>
      </c>
      <c r="AC54">
        <v>89717</v>
      </c>
      <c r="AD54">
        <v>49798</v>
      </c>
      <c r="AF54">
        <v>1429840.7</v>
      </c>
      <c r="AH54">
        <v>46565.211000000003</v>
      </c>
      <c r="AI54">
        <v>153572.96900000001</v>
      </c>
      <c r="AJ54">
        <v>16381.843000000001</v>
      </c>
      <c r="AK54">
        <v>15480.281000000001</v>
      </c>
      <c r="AL54">
        <v>4444</v>
      </c>
      <c r="AM54">
        <v>3393</v>
      </c>
      <c r="AN54">
        <v>4578</v>
      </c>
      <c r="AO54">
        <v>3065.2809999999999</v>
      </c>
      <c r="AP54">
        <v>44781.777999999998</v>
      </c>
      <c r="AQ54">
        <v>21874</v>
      </c>
      <c r="AR54">
        <v>13075.402</v>
      </c>
      <c r="AS54">
        <v>6855.5460000000003</v>
      </c>
      <c r="AT54">
        <v>1263.83</v>
      </c>
      <c r="AU54">
        <v>1713</v>
      </c>
      <c r="AV54">
        <v>40226.741999999998</v>
      </c>
      <c r="AW54">
        <v>37615.499000000003</v>
      </c>
      <c r="AX54">
        <v>1813.9680000000001</v>
      </c>
      <c r="AY54">
        <v>797.27599999999995</v>
      </c>
      <c r="AZ54">
        <v>82453.600999999995</v>
      </c>
      <c r="BA54">
        <v>4835.402</v>
      </c>
      <c r="BB54">
        <v>34771.597999999998</v>
      </c>
      <c r="BC54">
        <v>29363.361000000001</v>
      </c>
      <c r="BD54">
        <v>13483.24</v>
      </c>
      <c r="BE54">
        <v>24057.31</v>
      </c>
      <c r="BF54">
        <v>4819</v>
      </c>
      <c r="BG54">
        <v>6351.5</v>
      </c>
      <c r="BH54">
        <v>8613</v>
      </c>
      <c r="BI54">
        <v>392</v>
      </c>
      <c r="BJ54">
        <v>3106.5</v>
      </c>
      <c r="BK54">
        <v>775.31</v>
      </c>
    </row>
    <row r="55" spans="1:63" x14ac:dyDescent="0.2">
      <c r="A55">
        <v>2011</v>
      </c>
      <c r="B55">
        <v>144499.84700000001</v>
      </c>
      <c r="C55">
        <v>38234.934000000001</v>
      </c>
      <c r="D55">
        <v>44787.364000000001</v>
      </c>
      <c r="E55">
        <v>281230.17</v>
      </c>
      <c r="F55">
        <v>57188.470999999998</v>
      </c>
      <c r="G55">
        <v>46395.824000000001</v>
      </c>
      <c r="H55">
        <v>154089.514</v>
      </c>
      <c r="I55">
        <v>33441.743000000002</v>
      </c>
      <c r="J55">
        <v>98002.383000000002</v>
      </c>
      <c r="K55">
        <v>9535.3970000000008</v>
      </c>
      <c r="L55">
        <v>71949.95</v>
      </c>
      <c r="M55">
        <v>134601.80600000001</v>
      </c>
      <c r="N55">
        <v>-7075</v>
      </c>
      <c r="P55">
        <v>1106881</v>
      </c>
      <c r="Q55">
        <v>1097689</v>
      </c>
      <c r="S55">
        <v>41048</v>
      </c>
      <c r="T55">
        <v>5773</v>
      </c>
      <c r="U55">
        <v>3641</v>
      </c>
      <c r="V55">
        <v>20676</v>
      </c>
      <c r="W55">
        <v>10958</v>
      </c>
      <c r="Y55">
        <v>313816</v>
      </c>
      <c r="Z55">
        <v>14205</v>
      </c>
      <c r="AA55">
        <v>140030</v>
      </c>
      <c r="AB55">
        <v>17142</v>
      </c>
      <c r="AC55">
        <v>91256</v>
      </c>
      <c r="AD55">
        <v>51183</v>
      </c>
      <c r="AF55">
        <v>1461745</v>
      </c>
      <c r="AH55">
        <v>47691.442999999999</v>
      </c>
      <c r="AI55">
        <v>156576.85999999999</v>
      </c>
      <c r="AJ55">
        <v>16946.887999999999</v>
      </c>
      <c r="AK55">
        <v>15852.834999999999</v>
      </c>
      <c r="AL55">
        <v>4327</v>
      </c>
      <c r="AM55">
        <v>3698</v>
      </c>
      <c r="AN55">
        <v>4758</v>
      </c>
      <c r="AO55">
        <v>3069.835</v>
      </c>
      <c r="AP55">
        <v>44161.39</v>
      </c>
      <c r="AQ55">
        <v>20560</v>
      </c>
      <c r="AR55">
        <v>12599.593999999999</v>
      </c>
      <c r="AS55">
        <v>7688.9780000000001</v>
      </c>
      <c r="AT55">
        <v>1492.818</v>
      </c>
      <c r="AU55">
        <v>1820</v>
      </c>
      <c r="AV55">
        <v>41564.415000000001</v>
      </c>
      <c r="AW55">
        <v>39018.993999999999</v>
      </c>
      <c r="AX55">
        <v>1696.7180000000001</v>
      </c>
      <c r="AY55">
        <v>848.702</v>
      </c>
      <c r="AZ55">
        <v>87487.729000000007</v>
      </c>
      <c r="BA55">
        <v>4859.7879999999996</v>
      </c>
      <c r="BB55">
        <v>39046.379999999997</v>
      </c>
      <c r="BC55">
        <v>29620.873</v>
      </c>
      <c r="BD55">
        <v>13960.688</v>
      </c>
      <c r="BE55">
        <v>25037.37</v>
      </c>
      <c r="BF55">
        <v>5080</v>
      </c>
      <c r="BG55">
        <v>6349.75</v>
      </c>
      <c r="BH55">
        <v>9125</v>
      </c>
      <c r="BI55">
        <v>397</v>
      </c>
      <c r="BJ55">
        <v>3272.25</v>
      </c>
      <c r="BK55">
        <v>813.37</v>
      </c>
    </row>
    <row r="56" spans="1:63" x14ac:dyDescent="0.2">
      <c r="A56">
        <v>2012</v>
      </c>
      <c r="B56">
        <v>149772.46900000001</v>
      </c>
      <c r="C56">
        <v>39337.508999999998</v>
      </c>
      <c r="D56">
        <v>44718.902999999998</v>
      </c>
      <c r="E56">
        <v>293624.84299999999</v>
      </c>
      <c r="F56">
        <v>57178.233</v>
      </c>
      <c r="G56">
        <v>47339.466999999997</v>
      </c>
      <c r="H56">
        <v>152352.193</v>
      </c>
      <c r="I56">
        <v>31544.957999999999</v>
      </c>
      <c r="J56">
        <v>97041.79</v>
      </c>
      <c r="K56">
        <v>9911.4770000000008</v>
      </c>
      <c r="L56">
        <v>73360.751000000004</v>
      </c>
      <c r="M56">
        <v>133938.503</v>
      </c>
      <c r="N56">
        <v>-10475</v>
      </c>
      <c r="P56">
        <v>1119646</v>
      </c>
      <c r="Q56">
        <v>1112631</v>
      </c>
      <c r="S56">
        <v>42083</v>
      </c>
      <c r="T56">
        <v>5881</v>
      </c>
      <c r="U56">
        <v>3738</v>
      </c>
      <c r="V56">
        <v>21336</v>
      </c>
      <c r="W56">
        <v>11128</v>
      </c>
      <c r="Y56">
        <v>320490</v>
      </c>
      <c r="Z56">
        <v>14543</v>
      </c>
      <c r="AA56">
        <v>143068</v>
      </c>
      <c r="AB56">
        <v>17776</v>
      </c>
      <c r="AC56">
        <v>91983</v>
      </c>
      <c r="AD56">
        <v>53120</v>
      </c>
      <c r="AF56">
        <v>1482219</v>
      </c>
      <c r="AH56">
        <v>49362.925999999999</v>
      </c>
      <c r="AI56">
        <v>160738.66200000001</v>
      </c>
      <c r="AJ56">
        <v>17438.722000000002</v>
      </c>
      <c r="AK56">
        <v>16146.884</v>
      </c>
      <c r="AL56">
        <v>4344</v>
      </c>
      <c r="AM56">
        <v>3834</v>
      </c>
      <c r="AN56">
        <v>4906</v>
      </c>
      <c r="AO56">
        <v>3062.884</v>
      </c>
      <c r="AP56">
        <v>49937.633999999998</v>
      </c>
      <c r="AQ56">
        <v>23022</v>
      </c>
      <c r="AR56">
        <v>14877.883</v>
      </c>
      <c r="AS56">
        <v>8612.1219999999994</v>
      </c>
      <c r="AT56">
        <v>1488.6289999999999</v>
      </c>
      <c r="AU56">
        <v>1937</v>
      </c>
      <c r="AV56">
        <v>38174.334000000003</v>
      </c>
      <c r="AW56">
        <v>35784.353000000003</v>
      </c>
      <c r="AX56">
        <v>1587.415</v>
      </c>
      <c r="AY56">
        <v>802.56600000000003</v>
      </c>
      <c r="AZ56">
        <v>88361.444000000003</v>
      </c>
      <c r="BA56">
        <v>4695.6030000000001</v>
      </c>
      <c r="BB56">
        <v>40326.915000000001</v>
      </c>
      <c r="BC56">
        <v>28949.528999999999</v>
      </c>
      <c r="BD56">
        <v>14389.397000000001</v>
      </c>
      <c r="BE56">
        <v>25816.415000000001</v>
      </c>
      <c r="BF56">
        <v>5170</v>
      </c>
      <c r="BG56">
        <v>6543</v>
      </c>
      <c r="BH56">
        <v>9484</v>
      </c>
      <c r="BI56">
        <v>377</v>
      </c>
      <c r="BJ56">
        <v>3459</v>
      </c>
      <c r="BK56">
        <v>783.41499999999996</v>
      </c>
    </row>
    <row r="57" spans="1:63" x14ac:dyDescent="0.2">
      <c r="A57">
        <v>2013</v>
      </c>
      <c r="B57">
        <v>153369.66399999999</v>
      </c>
      <c r="C57">
        <v>40242.847000000002</v>
      </c>
      <c r="D57">
        <v>44781.32</v>
      </c>
      <c r="E57">
        <v>301696.52399999998</v>
      </c>
      <c r="F57">
        <v>56535.588000000003</v>
      </c>
      <c r="G57">
        <v>47837.993000000002</v>
      </c>
      <c r="H57">
        <v>149892.886</v>
      </c>
      <c r="I57">
        <v>30645.547999999999</v>
      </c>
      <c r="J57">
        <v>95277.66</v>
      </c>
      <c r="K57">
        <v>10417.485000000001</v>
      </c>
      <c r="L57">
        <v>74070.375</v>
      </c>
      <c r="M57">
        <v>137459.77299999999</v>
      </c>
      <c r="N57">
        <v>-10000</v>
      </c>
      <c r="P57">
        <v>1132231</v>
      </c>
      <c r="Q57">
        <v>1126163</v>
      </c>
      <c r="S57">
        <v>43362</v>
      </c>
      <c r="T57">
        <v>6026</v>
      </c>
      <c r="U57">
        <v>3871</v>
      </c>
      <c r="V57">
        <v>22051</v>
      </c>
      <c r="W57">
        <v>11414</v>
      </c>
      <c r="Y57">
        <v>326788</v>
      </c>
      <c r="Z57">
        <v>15079</v>
      </c>
      <c r="AA57">
        <v>146594</v>
      </c>
      <c r="AB57">
        <v>18293</v>
      </c>
      <c r="AC57">
        <v>93235</v>
      </c>
      <c r="AD57">
        <v>53587</v>
      </c>
      <c r="AF57">
        <v>1502381</v>
      </c>
      <c r="AH57">
        <v>50670.891000000003</v>
      </c>
      <c r="AI57">
        <v>164217.516</v>
      </c>
      <c r="AJ57">
        <v>17559.774000000001</v>
      </c>
      <c r="AK57">
        <v>16300.989</v>
      </c>
      <c r="AL57">
        <v>4339</v>
      </c>
      <c r="AM57">
        <v>3934</v>
      </c>
      <c r="AN57">
        <v>4967</v>
      </c>
      <c r="AO57">
        <v>3060.989</v>
      </c>
      <c r="AP57">
        <v>52947.436000000002</v>
      </c>
      <c r="AQ57">
        <v>25761</v>
      </c>
      <c r="AR57">
        <v>15546.883</v>
      </c>
      <c r="AS57">
        <v>7968.1729999999998</v>
      </c>
      <c r="AT57">
        <v>1719.38</v>
      </c>
      <c r="AU57">
        <v>1952</v>
      </c>
      <c r="AV57">
        <v>35686.531999999999</v>
      </c>
      <c r="AW57">
        <v>33436.455000000002</v>
      </c>
      <c r="AX57">
        <v>1415.4870000000001</v>
      </c>
      <c r="AY57">
        <v>834.59</v>
      </c>
      <c r="AZ57">
        <v>87861.127999999997</v>
      </c>
      <c r="BA57">
        <v>4748.0649999999996</v>
      </c>
      <c r="BB57">
        <v>38807.148000000001</v>
      </c>
      <c r="BC57">
        <v>29654.734</v>
      </c>
      <c r="BD57">
        <v>14651.182000000001</v>
      </c>
      <c r="BE57">
        <v>26345.224999999999</v>
      </c>
      <c r="BF57">
        <v>5217</v>
      </c>
      <c r="BG57">
        <v>6622.75</v>
      </c>
      <c r="BH57">
        <v>9724</v>
      </c>
      <c r="BI57">
        <v>420</v>
      </c>
      <c r="BJ57">
        <v>3593.25</v>
      </c>
      <c r="BK57">
        <v>768.22500000000002</v>
      </c>
    </row>
    <row r="58" spans="1:63" x14ac:dyDescent="0.2">
      <c r="A58">
        <v>2014</v>
      </c>
      <c r="B58">
        <v>153128.527</v>
      </c>
      <c r="C58">
        <v>40476.584999999999</v>
      </c>
      <c r="D58">
        <v>45311.663</v>
      </c>
      <c r="E58">
        <v>301953.978</v>
      </c>
      <c r="F58">
        <v>56736.796000000002</v>
      </c>
      <c r="G58">
        <v>48310.714999999997</v>
      </c>
      <c r="H58">
        <v>149483.05499999999</v>
      </c>
      <c r="I58">
        <v>29944.112000000001</v>
      </c>
      <c r="J58">
        <v>96390.317999999999</v>
      </c>
      <c r="K58">
        <v>10620.51</v>
      </c>
      <c r="L58">
        <v>77315.622000000003</v>
      </c>
      <c r="M58">
        <v>137976.44699999999</v>
      </c>
      <c r="N58">
        <v>-6156</v>
      </c>
      <c r="P58">
        <v>1141496</v>
      </c>
      <c r="Q58">
        <v>1136121</v>
      </c>
      <c r="S58">
        <v>44615</v>
      </c>
      <c r="T58">
        <v>6268</v>
      </c>
      <c r="U58">
        <v>3947</v>
      </c>
      <c r="V58">
        <v>22647</v>
      </c>
      <c r="W58">
        <v>11753</v>
      </c>
      <c r="Y58">
        <v>334360</v>
      </c>
      <c r="Z58">
        <v>15351</v>
      </c>
      <c r="AA58">
        <v>151446</v>
      </c>
      <c r="AB58">
        <v>18783</v>
      </c>
      <c r="AC58">
        <v>94583</v>
      </c>
      <c r="AD58">
        <v>54197</v>
      </c>
      <c r="AF58">
        <v>1520471</v>
      </c>
      <c r="AH58">
        <v>52008.343999999997</v>
      </c>
      <c r="AI58">
        <v>167452.92199999999</v>
      </c>
      <c r="AJ58">
        <v>18129.511999999999</v>
      </c>
      <c r="AK58">
        <v>16618.535</v>
      </c>
      <c r="AL58">
        <v>4427</v>
      </c>
      <c r="AM58">
        <v>3998</v>
      </c>
      <c r="AN58">
        <v>5158</v>
      </c>
      <c r="AO58">
        <v>3035.5349999999999</v>
      </c>
      <c r="AP58">
        <v>47745.364000000001</v>
      </c>
      <c r="AQ58">
        <v>24365</v>
      </c>
      <c r="AR58">
        <v>12981.95</v>
      </c>
      <c r="AS58">
        <v>6614.3280000000004</v>
      </c>
      <c r="AT58">
        <v>1889.086</v>
      </c>
      <c r="AU58">
        <v>1895</v>
      </c>
      <c r="AV58">
        <v>35625.531999999999</v>
      </c>
      <c r="AW58">
        <v>33272.271999999997</v>
      </c>
      <c r="AX58">
        <v>1456.8810000000001</v>
      </c>
      <c r="AY58">
        <v>896.37900000000002</v>
      </c>
      <c r="AZ58">
        <v>86855.877999999997</v>
      </c>
      <c r="BA58">
        <v>4756.5349999999999</v>
      </c>
      <c r="BB58">
        <v>37403.182999999997</v>
      </c>
      <c r="BC58">
        <v>29569.005000000001</v>
      </c>
      <c r="BD58">
        <v>15127.155000000001</v>
      </c>
      <c r="BE58">
        <v>27001.645</v>
      </c>
      <c r="BF58">
        <v>5133</v>
      </c>
      <c r="BG58">
        <v>6871.5</v>
      </c>
      <c r="BH58">
        <v>9993</v>
      </c>
      <c r="BI58">
        <v>447</v>
      </c>
      <c r="BJ58">
        <v>3796.5</v>
      </c>
      <c r="BK58">
        <v>760.64499999999998</v>
      </c>
    </row>
    <row r="59" spans="1:63" x14ac:dyDescent="0.2">
      <c r="A59">
        <v>2015</v>
      </c>
      <c r="B59">
        <v>155358.261</v>
      </c>
      <c r="C59">
        <v>41255.06</v>
      </c>
      <c r="D59">
        <v>45451.673999999999</v>
      </c>
      <c r="E59">
        <v>306806.27799999999</v>
      </c>
      <c r="F59">
        <v>57372.222999999998</v>
      </c>
      <c r="G59">
        <v>48754.769</v>
      </c>
      <c r="H59">
        <v>150977.845</v>
      </c>
      <c r="I59">
        <v>29976.055</v>
      </c>
      <c r="J59">
        <v>97265.361999999994</v>
      </c>
      <c r="K59">
        <v>10960.08</v>
      </c>
      <c r="L59">
        <v>78733.402000000002</v>
      </c>
      <c r="M59">
        <v>143675.98499999999</v>
      </c>
      <c r="N59">
        <v>-6012</v>
      </c>
      <c r="P59">
        <v>1160572</v>
      </c>
      <c r="Q59">
        <v>1153795</v>
      </c>
      <c r="S59">
        <v>45920</v>
      </c>
      <c r="T59">
        <v>6423</v>
      </c>
      <c r="U59">
        <v>3996</v>
      </c>
      <c r="V59">
        <v>23352</v>
      </c>
      <c r="W59">
        <v>12149</v>
      </c>
      <c r="Y59">
        <v>339313</v>
      </c>
      <c r="Z59">
        <v>15572</v>
      </c>
      <c r="AA59">
        <v>154376</v>
      </c>
      <c r="AB59">
        <v>18760</v>
      </c>
      <c r="AC59">
        <v>96026</v>
      </c>
      <c r="AD59">
        <v>54579</v>
      </c>
      <c r="AF59">
        <v>1545805</v>
      </c>
      <c r="AH59">
        <v>53073.875</v>
      </c>
      <c r="AI59">
        <v>170101.54199999999</v>
      </c>
      <c r="AJ59">
        <v>18222.892</v>
      </c>
      <c r="AK59">
        <v>16825.413</v>
      </c>
      <c r="AL59">
        <v>4453</v>
      </c>
      <c r="AM59">
        <v>4117</v>
      </c>
      <c r="AN59">
        <v>5248</v>
      </c>
      <c r="AO59">
        <v>3007.413</v>
      </c>
      <c r="AP59">
        <v>48582.053999999996</v>
      </c>
      <c r="AQ59">
        <v>26411</v>
      </c>
      <c r="AR59">
        <v>12915.374</v>
      </c>
      <c r="AS59">
        <v>5457.8109999999997</v>
      </c>
      <c r="AT59">
        <v>1926.8689999999999</v>
      </c>
      <c r="AU59">
        <v>1871</v>
      </c>
      <c r="AV59">
        <v>37797.262000000002</v>
      </c>
      <c r="AW59">
        <v>35406.071000000004</v>
      </c>
      <c r="AX59">
        <v>1453.546</v>
      </c>
      <c r="AY59">
        <v>937.64499999999998</v>
      </c>
      <c r="AZ59">
        <v>85691.832999999999</v>
      </c>
      <c r="BA59">
        <v>4932.1149999999998</v>
      </c>
      <c r="BB59">
        <v>34403.091999999997</v>
      </c>
      <c r="BC59">
        <v>30915.312000000002</v>
      </c>
      <c r="BD59">
        <v>15441.313</v>
      </c>
      <c r="BE59">
        <v>27488.75</v>
      </c>
      <c r="BF59">
        <v>4981</v>
      </c>
      <c r="BG59">
        <v>7100.75</v>
      </c>
      <c r="BH59">
        <v>10283</v>
      </c>
      <c r="BI59">
        <v>472</v>
      </c>
      <c r="BJ59">
        <v>3875.25</v>
      </c>
      <c r="BK59">
        <v>776.75</v>
      </c>
    </row>
    <row r="60" spans="1:63" x14ac:dyDescent="0.2">
      <c r="A60">
        <v>2016</v>
      </c>
      <c r="B60">
        <v>158630.89799999999</v>
      </c>
      <c r="C60">
        <v>41711.665999999997</v>
      </c>
      <c r="D60">
        <v>45012.54</v>
      </c>
      <c r="E60">
        <v>311099.054</v>
      </c>
      <c r="F60">
        <v>57748.086000000003</v>
      </c>
      <c r="G60">
        <v>49593.902000000002</v>
      </c>
      <c r="H60">
        <v>155402.03400000001</v>
      </c>
      <c r="I60">
        <v>30675.791000000001</v>
      </c>
      <c r="J60">
        <v>100526.379</v>
      </c>
      <c r="K60">
        <v>11282.959000000001</v>
      </c>
      <c r="L60">
        <v>82527.317999999999</v>
      </c>
      <c r="M60">
        <v>143171.50700000001</v>
      </c>
      <c r="N60">
        <v>-1288</v>
      </c>
      <c r="P60">
        <v>1186092</v>
      </c>
      <c r="Q60">
        <v>1180095</v>
      </c>
      <c r="S60">
        <v>46790</v>
      </c>
      <c r="T60">
        <v>6674</v>
      </c>
      <c r="U60">
        <v>4094</v>
      </c>
      <c r="V60">
        <v>23774</v>
      </c>
      <c r="W60">
        <v>12248</v>
      </c>
      <c r="Y60">
        <v>343647</v>
      </c>
      <c r="Z60">
        <v>15973</v>
      </c>
      <c r="AA60">
        <v>157734</v>
      </c>
      <c r="AB60">
        <v>18812</v>
      </c>
      <c r="AC60">
        <v>96206</v>
      </c>
      <c r="AD60">
        <v>54922</v>
      </c>
      <c r="AF60">
        <v>1576529</v>
      </c>
      <c r="AH60">
        <v>53773.317999999999</v>
      </c>
      <c r="AI60">
        <v>172341.75399999999</v>
      </c>
      <c r="AJ60">
        <v>18518.475999999999</v>
      </c>
      <c r="AK60">
        <v>17150.934000000001</v>
      </c>
      <c r="AL60">
        <v>4502</v>
      </c>
      <c r="AM60">
        <v>4202</v>
      </c>
      <c r="AN60">
        <v>5495</v>
      </c>
      <c r="AO60">
        <v>2951.9340000000002</v>
      </c>
      <c r="AP60">
        <v>49314.387999999999</v>
      </c>
      <c r="AQ60">
        <v>28085</v>
      </c>
      <c r="AR60">
        <v>12562.477000000001</v>
      </c>
      <c r="AS60">
        <v>4711.4949999999999</v>
      </c>
      <c r="AT60">
        <v>2109.4160000000002</v>
      </c>
      <c r="AU60">
        <v>1846</v>
      </c>
      <c r="AV60">
        <v>40549.652999999998</v>
      </c>
      <c r="AW60">
        <v>37961.322</v>
      </c>
      <c r="AX60">
        <v>1592.7249999999999</v>
      </c>
      <c r="AY60">
        <v>995.60699999999997</v>
      </c>
      <c r="AZ60">
        <v>86791.061000000002</v>
      </c>
      <c r="BA60">
        <v>5097.5439999999999</v>
      </c>
      <c r="BB60">
        <v>33503.300000000003</v>
      </c>
      <c r="BC60">
        <v>32148.894</v>
      </c>
      <c r="BD60">
        <v>16041.324000000001</v>
      </c>
      <c r="BE60">
        <v>28061.32</v>
      </c>
      <c r="BF60">
        <v>4829</v>
      </c>
      <c r="BG60">
        <v>7877.5</v>
      </c>
      <c r="BH60">
        <v>10136</v>
      </c>
      <c r="BI60">
        <v>465</v>
      </c>
      <c r="BJ60">
        <v>3955.5</v>
      </c>
      <c r="BK60">
        <v>798.32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6"/>
  <sheetViews>
    <sheetView topLeftCell="A24" workbookViewId="0">
      <selection activeCell="A3" sqref="A3:M60"/>
    </sheetView>
  </sheetViews>
  <sheetFormatPr baseColWidth="10" defaultRowHeight="12.75" x14ac:dyDescent="0.2"/>
  <sheetData>
    <row r="1" spans="1:13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19</v>
      </c>
      <c r="F1" s="1" t="s">
        <v>20</v>
      </c>
      <c r="G1" s="1" t="s">
        <v>21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44</v>
      </c>
    </row>
    <row r="2" spans="1:13" x14ac:dyDescent="0.2">
      <c r="A2" s="1" t="s">
        <v>58</v>
      </c>
      <c r="B2" s="1" t="s">
        <v>59</v>
      </c>
      <c r="C2" s="1" t="s">
        <v>60</v>
      </c>
      <c r="D2" s="1" t="s">
        <v>61</v>
      </c>
      <c r="E2" s="1" t="s">
        <v>76</v>
      </c>
      <c r="F2" s="1" t="s">
        <v>77</v>
      </c>
      <c r="G2" s="1" t="s">
        <v>78</v>
      </c>
      <c r="H2" s="1" t="s">
        <v>95</v>
      </c>
      <c r="I2" s="1" t="s">
        <v>96</v>
      </c>
      <c r="J2" s="1" t="s">
        <v>97</v>
      </c>
      <c r="K2" s="1" t="s">
        <v>98</v>
      </c>
      <c r="L2" s="1" t="s">
        <v>99</v>
      </c>
      <c r="M2" s="1" t="s">
        <v>103</v>
      </c>
    </row>
    <row r="3" spans="1:13" x14ac:dyDescent="0.2">
      <c r="A3" s="2">
        <v>12.539</v>
      </c>
      <c r="B3" s="2">
        <v>7.8680000000000003</v>
      </c>
      <c r="C3" s="2">
        <v>13.608000000000001</v>
      </c>
      <c r="D3" s="2">
        <v>5.7519999999999998</v>
      </c>
      <c r="E3" s="2">
        <v>16.847000000000001</v>
      </c>
      <c r="F3" s="2">
        <v>17.648</v>
      </c>
      <c r="G3" s="2">
        <v>9.6869999999999994</v>
      </c>
      <c r="H3" s="2">
        <v>49.826999999999998</v>
      </c>
      <c r="I3" s="2">
        <v>21.536999999999999</v>
      </c>
      <c r="J3" s="2">
        <v>4.742</v>
      </c>
      <c r="K3" s="2">
        <v>4.7809999999999997</v>
      </c>
      <c r="L3" s="2">
        <v>7.9489999999999998</v>
      </c>
      <c r="M3" s="2">
        <v>10.557</v>
      </c>
    </row>
    <row r="4" spans="1:13" x14ac:dyDescent="0.2">
      <c r="A4" s="2">
        <v>12.743</v>
      </c>
      <c r="B4" s="2">
        <v>8.0359999999999996</v>
      </c>
      <c r="C4" s="2">
        <v>14.193</v>
      </c>
      <c r="D4" s="2">
        <v>6.1289999999999996</v>
      </c>
      <c r="E4" s="2">
        <v>17.082000000000001</v>
      </c>
      <c r="F4" s="2">
        <v>18.933</v>
      </c>
      <c r="G4" s="2">
        <v>9.9369999999999994</v>
      </c>
      <c r="H4" s="2">
        <v>49.822000000000003</v>
      </c>
      <c r="I4" s="2">
        <v>22.225000000000001</v>
      </c>
      <c r="J4" s="2">
        <v>4.9880000000000004</v>
      </c>
      <c r="K4" s="2">
        <v>4.907</v>
      </c>
      <c r="L4" s="2">
        <v>8.3819999999999997</v>
      </c>
      <c r="M4" s="2">
        <v>10.896000000000001</v>
      </c>
    </row>
    <row r="5" spans="1:13" x14ac:dyDescent="0.2">
      <c r="A5" s="2">
        <v>13.05</v>
      </c>
      <c r="B5" s="2">
        <v>8.1769999999999996</v>
      </c>
      <c r="C5" s="2">
        <v>14.571999999999999</v>
      </c>
      <c r="D5" s="2">
        <v>6.4939999999999998</v>
      </c>
      <c r="E5" s="2">
        <v>17.077999999999999</v>
      </c>
      <c r="F5" s="2">
        <v>19.265999999999998</v>
      </c>
      <c r="G5" s="2">
        <v>10.161</v>
      </c>
      <c r="H5" s="2">
        <v>49.832000000000001</v>
      </c>
      <c r="I5" s="2">
        <v>22.956</v>
      </c>
      <c r="J5" s="2">
        <v>5.2389999999999999</v>
      </c>
      <c r="K5" s="2">
        <v>5.1449999999999996</v>
      </c>
      <c r="L5" s="2">
        <v>8.8109999999999999</v>
      </c>
      <c r="M5" s="2">
        <v>11.221</v>
      </c>
    </row>
    <row r="6" spans="1:13" x14ac:dyDescent="0.2">
      <c r="A6" s="2">
        <v>13.814</v>
      </c>
      <c r="B6" s="2">
        <v>8.5630000000000006</v>
      </c>
      <c r="C6" s="2">
        <v>14.952</v>
      </c>
      <c r="D6" s="2">
        <v>6.9180000000000001</v>
      </c>
      <c r="E6" s="2">
        <v>17.311</v>
      </c>
      <c r="F6" s="2">
        <v>20.219000000000001</v>
      </c>
      <c r="G6" s="2">
        <v>10.32</v>
      </c>
      <c r="H6" s="2">
        <v>49.972000000000001</v>
      </c>
      <c r="I6" s="2">
        <v>23.661999999999999</v>
      </c>
      <c r="J6" s="2">
        <v>5.5190000000000001</v>
      </c>
      <c r="K6" s="2">
        <v>5.444</v>
      </c>
      <c r="L6" s="2">
        <v>9.2829999999999995</v>
      </c>
      <c r="M6" s="2">
        <v>11.7</v>
      </c>
    </row>
    <row r="7" spans="1:13" x14ac:dyDescent="0.2">
      <c r="A7" s="2">
        <v>14.555999999999999</v>
      </c>
      <c r="B7" s="2">
        <v>8.9039999999999999</v>
      </c>
      <c r="C7" s="2">
        <v>15.362</v>
      </c>
      <c r="D7" s="2">
        <v>7.4470000000000001</v>
      </c>
      <c r="E7" s="2">
        <v>17.672000000000001</v>
      </c>
      <c r="F7" s="2">
        <v>21.370999999999999</v>
      </c>
      <c r="G7" s="2">
        <v>10.590999999999999</v>
      </c>
      <c r="H7" s="2">
        <v>49.976999999999997</v>
      </c>
      <c r="I7" s="2">
        <v>24.585000000000001</v>
      </c>
      <c r="J7" s="2">
        <v>5.8970000000000002</v>
      </c>
      <c r="K7" s="2">
        <v>5.8860000000000001</v>
      </c>
      <c r="L7" s="2">
        <v>9.9700000000000006</v>
      </c>
      <c r="M7" s="2">
        <v>12.266</v>
      </c>
    </row>
    <row r="8" spans="1:13" x14ac:dyDescent="0.2">
      <c r="A8" s="2">
        <v>14.756</v>
      </c>
      <c r="B8" s="2">
        <v>9.2110000000000003</v>
      </c>
      <c r="C8" s="2">
        <v>15.847</v>
      </c>
      <c r="D8" s="2">
        <v>7.8419999999999996</v>
      </c>
      <c r="E8" s="2">
        <v>17.983000000000001</v>
      </c>
      <c r="F8" s="2">
        <v>22.132000000000001</v>
      </c>
      <c r="G8" s="2">
        <v>10.757</v>
      </c>
      <c r="H8" s="2">
        <v>51.377000000000002</v>
      </c>
      <c r="I8" s="2">
        <v>25.396999999999998</v>
      </c>
      <c r="J8" s="2">
        <v>6.1980000000000004</v>
      </c>
      <c r="K8" s="2">
        <v>6.375</v>
      </c>
      <c r="L8" s="2">
        <v>10.566000000000001</v>
      </c>
      <c r="M8" s="2">
        <v>12.67</v>
      </c>
    </row>
    <row r="9" spans="1:13" x14ac:dyDescent="0.2">
      <c r="A9" s="2">
        <v>14.958</v>
      </c>
      <c r="B9" s="2">
        <v>9.3040000000000003</v>
      </c>
      <c r="C9" s="2">
        <v>16.183</v>
      </c>
      <c r="D9" s="2">
        <v>8.3550000000000004</v>
      </c>
      <c r="E9" s="2">
        <v>18.148</v>
      </c>
      <c r="F9" s="2">
        <v>22.54</v>
      </c>
      <c r="G9" s="2">
        <v>10.865</v>
      </c>
      <c r="H9" s="2">
        <v>57.323999999999998</v>
      </c>
      <c r="I9" s="2">
        <v>26.001000000000001</v>
      </c>
      <c r="J9" s="2">
        <v>6.4379999999999997</v>
      </c>
      <c r="K9" s="2">
        <v>6.6710000000000003</v>
      </c>
      <c r="L9" s="2">
        <v>10.992000000000001</v>
      </c>
      <c r="M9" s="2">
        <v>13.005000000000001</v>
      </c>
    </row>
    <row r="10" spans="1:13" x14ac:dyDescent="0.2">
      <c r="A10" s="2">
        <v>15.384</v>
      </c>
      <c r="B10" s="2">
        <v>9.36</v>
      </c>
      <c r="C10" s="2">
        <v>16.515999999999998</v>
      </c>
      <c r="D10" s="2">
        <v>8.8689999999999998</v>
      </c>
      <c r="E10" s="2">
        <v>18.286000000000001</v>
      </c>
      <c r="F10" s="2">
        <v>23.11</v>
      </c>
      <c r="G10" s="2">
        <v>11.051</v>
      </c>
      <c r="H10" s="2">
        <v>59.146999999999998</v>
      </c>
      <c r="I10" s="2">
        <v>26.495999999999999</v>
      </c>
      <c r="J10" s="2">
        <v>6.6870000000000003</v>
      </c>
      <c r="K10" s="2">
        <v>7.0519999999999996</v>
      </c>
      <c r="L10" s="2">
        <v>11.465999999999999</v>
      </c>
      <c r="M10" s="2">
        <v>13.397</v>
      </c>
    </row>
    <row r="11" spans="1:13" x14ac:dyDescent="0.2">
      <c r="A11" s="2">
        <v>15.531000000000001</v>
      </c>
      <c r="B11" s="2">
        <v>9.4860000000000007</v>
      </c>
      <c r="C11" s="2">
        <v>16.882999999999999</v>
      </c>
      <c r="D11" s="2">
        <v>9.5510000000000002</v>
      </c>
      <c r="E11" s="2">
        <v>18.417000000000002</v>
      </c>
      <c r="F11" s="2">
        <v>23.718</v>
      </c>
      <c r="G11" s="2">
        <v>11.334</v>
      </c>
      <c r="H11" s="2">
        <v>61.500999999999998</v>
      </c>
      <c r="I11" s="2">
        <v>27.280999999999999</v>
      </c>
      <c r="J11" s="2">
        <v>6.9290000000000003</v>
      </c>
      <c r="K11" s="2">
        <v>7.45</v>
      </c>
      <c r="L11" s="2">
        <v>12.000999999999999</v>
      </c>
      <c r="M11" s="2">
        <v>13.818</v>
      </c>
    </row>
    <row r="12" spans="1:13" x14ac:dyDescent="0.2">
      <c r="A12" s="2">
        <v>15.981999999999999</v>
      </c>
      <c r="B12" s="2">
        <v>9.9949999999999992</v>
      </c>
      <c r="C12" s="2">
        <v>17.219000000000001</v>
      </c>
      <c r="D12" s="2">
        <v>10.308</v>
      </c>
      <c r="E12" s="2">
        <v>18.861000000000001</v>
      </c>
      <c r="F12" s="2">
        <v>24.317</v>
      </c>
      <c r="G12" s="2">
        <v>11.968999999999999</v>
      </c>
      <c r="H12" s="2">
        <v>63.46</v>
      </c>
      <c r="I12" s="2">
        <v>29.103000000000002</v>
      </c>
      <c r="J12" s="2">
        <v>7.4269999999999996</v>
      </c>
      <c r="K12" s="2">
        <v>8.0630000000000006</v>
      </c>
      <c r="L12" s="2">
        <v>12.869</v>
      </c>
      <c r="M12" s="2">
        <v>14.513999999999999</v>
      </c>
    </row>
    <row r="13" spans="1:13" x14ac:dyDescent="0.2">
      <c r="A13" s="2">
        <v>16.933</v>
      </c>
      <c r="B13" s="2">
        <v>10.691000000000001</v>
      </c>
      <c r="C13" s="2">
        <v>18.04</v>
      </c>
      <c r="D13" s="2">
        <v>11.182</v>
      </c>
      <c r="E13" s="2">
        <v>19.849</v>
      </c>
      <c r="F13" s="2">
        <v>26.11</v>
      </c>
      <c r="G13" s="2">
        <v>12.885999999999999</v>
      </c>
      <c r="H13" s="2">
        <v>74.599999999999994</v>
      </c>
      <c r="I13" s="2">
        <v>30.890999999999998</v>
      </c>
      <c r="J13" s="2">
        <v>8.1669999999999998</v>
      </c>
      <c r="K13" s="2">
        <v>8.7769999999999992</v>
      </c>
      <c r="L13" s="2">
        <v>14.102</v>
      </c>
      <c r="M13" s="2">
        <v>15.544</v>
      </c>
    </row>
    <row r="14" spans="1:13" x14ac:dyDescent="0.2">
      <c r="A14" s="2">
        <v>17.571999999999999</v>
      </c>
      <c r="B14" s="2">
        <v>11.146000000000001</v>
      </c>
      <c r="C14" s="2">
        <v>18.719000000000001</v>
      </c>
      <c r="D14" s="2">
        <v>11.930999999999999</v>
      </c>
      <c r="E14" s="2">
        <v>20.873000000000001</v>
      </c>
      <c r="F14" s="2">
        <v>27.047000000000001</v>
      </c>
      <c r="G14" s="2">
        <v>13.428000000000001</v>
      </c>
      <c r="H14" s="2">
        <v>77.486000000000004</v>
      </c>
      <c r="I14" s="2">
        <v>32.100999999999999</v>
      </c>
      <c r="J14" s="2">
        <v>8.89</v>
      </c>
      <c r="K14" s="2">
        <v>9.3030000000000008</v>
      </c>
      <c r="L14" s="2">
        <v>15.183999999999999</v>
      </c>
      <c r="M14" s="2">
        <v>16.324000000000002</v>
      </c>
    </row>
    <row r="15" spans="1:13" x14ac:dyDescent="0.2">
      <c r="A15" s="2">
        <v>18.484000000000002</v>
      </c>
      <c r="B15" s="2">
        <v>11.442</v>
      </c>
      <c r="C15" s="2">
        <v>19.491</v>
      </c>
      <c r="D15" s="2">
        <v>12.682</v>
      </c>
      <c r="E15" s="2">
        <v>21.738</v>
      </c>
      <c r="F15" s="2">
        <v>28.242000000000001</v>
      </c>
      <c r="G15" s="2">
        <v>14.318</v>
      </c>
      <c r="H15" s="2">
        <v>84.605999999999995</v>
      </c>
      <c r="I15" s="2">
        <v>33.944000000000003</v>
      </c>
      <c r="J15" s="2">
        <v>9.2449999999999992</v>
      </c>
      <c r="K15" s="2">
        <v>9.9589999999999996</v>
      </c>
      <c r="L15" s="2">
        <v>16.356000000000002</v>
      </c>
      <c r="M15" s="2">
        <v>17.247</v>
      </c>
    </row>
    <row r="16" spans="1:13" x14ac:dyDescent="0.2">
      <c r="A16" s="2">
        <v>19.841999999999999</v>
      </c>
      <c r="B16" s="2">
        <v>12.121</v>
      </c>
      <c r="C16" s="2">
        <v>20.486999999999998</v>
      </c>
      <c r="D16" s="2">
        <v>13.289</v>
      </c>
      <c r="E16" s="2">
        <v>22.582999999999998</v>
      </c>
      <c r="F16" s="2">
        <v>29.47</v>
      </c>
      <c r="G16" s="2">
        <v>14.920999999999999</v>
      </c>
      <c r="H16" s="2">
        <v>84.652000000000001</v>
      </c>
      <c r="I16" s="2">
        <v>36.29</v>
      </c>
      <c r="J16" s="2">
        <v>9.782</v>
      </c>
      <c r="K16" s="2">
        <v>10.811</v>
      </c>
      <c r="L16" s="2">
        <v>17.670999999999999</v>
      </c>
      <c r="M16" s="2">
        <v>18.257999999999999</v>
      </c>
    </row>
    <row r="17" spans="1:13" x14ac:dyDescent="0.2">
      <c r="A17" s="2">
        <v>21.369</v>
      </c>
      <c r="B17" s="2">
        <v>13.465999999999999</v>
      </c>
      <c r="C17" s="2">
        <v>22.097999999999999</v>
      </c>
      <c r="D17" s="2">
        <v>14.227</v>
      </c>
      <c r="E17" s="2">
        <v>23.64</v>
      </c>
      <c r="F17" s="2">
        <v>31.015999999999998</v>
      </c>
      <c r="G17" s="2">
        <v>15.622</v>
      </c>
      <c r="H17" s="2">
        <v>89.721999999999994</v>
      </c>
      <c r="I17" s="2">
        <v>38.33</v>
      </c>
      <c r="J17" s="2">
        <v>10.417</v>
      </c>
      <c r="K17" s="2">
        <v>11.930999999999999</v>
      </c>
      <c r="L17" s="2">
        <v>19.486000000000001</v>
      </c>
      <c r="M17" s="2">
        <v>19.585999999999999</v>
      </c>
    </row>
    <row r="18" spans="1:13" x14ac:dyDescent="0.2">
      <c r="A18" s="2">
        <v>24.216999999999999</v>
      </c>
      <c r="B18" s="2">
        <v>14.371</v>
      </c>
      <c r="C18" s="2">
        <v>25.129000000000001</v>
      </c>
      <c r="D18" s="2">
        <v>16.172000000000001</v>
      </c>
      <c r="E18" s="2">
        <v>27.187999999999999</v>
      </c>
      <c r="F18" s="2">
        <v>33.658000000000001</v>
      </c>
      <c r="G18" s="2">
        <v>18.812000000000001</v>
      </c>
      <c r="H18" s="2">
        <v>98.932000000000002</v>
      </c>
      <c r="I18" s="2">
        <v>43.521999999999998</v>
      </c>
      <c r="J18" s="2">
        <v>11.500999999999999</v>
      </c>
      <c r="K18" s="2">
        <v>13.573</v>
      </c>
      <c r="L18" s="2">
        <v>22.754999999999999</v>
      </c>
      <c r="M18" s="2">
        <v>22.402999999999999</v>
      </c>
    </row>
    <row r="19" spans="1:13" x14ac:dyDescent="0.2">
      <c r="A19" s="2">
        <v>27.064</v>
      </c>
      <c r="B19" s="2">
        <v>15.148999999999999</v>
      </c>
      <c r="C19" s="2">
        <v>28.364000000000001</v>
      </c>
      <c r="D19" s="2">
        <v>17.859000000000002</v>
      </c>
      <c r="E19" s="2">
        <v>30.483000000000001</v>
      </c>
      <c r="F19" s="2">
        <v>37.006999999999998</v>
      </c>
      <c r="G19" s="2">
        <v>21.158000000000001</v>
      </c>
      <c r="H19" s="2">
        <v>107.71</v>
      </c>
      <c r="I19" s="2">
        <v>49.134</v>
      </c>
      <c r="J19" s="2">
        <v>13.502000000000001</v>
      </c>
      <c r="K19" s="2">
        <v>15.414</v>
      </c>
      <c r="L19" s="2">
        <v>25.555</v>
      </c>
      <c r="M19" s="2">
        <v>25.015000000000001</v>
      </c>
    </row>
    <row r="20" spans="1:13" x14ac:dyDescent="0.2">
      <c r="A20" s="2">
        <v>29.745999999999999</v>
      </c>
      <c r="B20" s="2">
        <v>16.422999999999998</v>
      </c>
      <c r="C20" s="2">
        <v>30.893999999999998</v>
      </c>
      <c r="D20" s="2">
        <v>19.902000000000001</v>
      </c>
      <c r="E20" s="2">
        <v>32.237000000000002</v>
      </c>
      <c r="F20" s="2">
        <v>39.637999999999998</v>
      </c>
      <c r="G20" s="2">
        <v>23.521000000000001</v>
      </c>
      <c r="H20" s="2">
        <v>118.345</v>
      </c>
      <c r="I20" s="2">
        <v>52.948999999999998</v>
      </c>
      <c r="J20" s="2">
        <v>15.337999999999999</v>
      </c>
      <c r="K20" s="2">
        <v>17.495000000000001</v>
      </c>
      <c r="L20" s="2">
        <v>27.687999999999999</v>
      </c>
      <c r="M20" s="2">
        <v>27.425999999999998</v>
      </c>
    </row>
    <row r="21" spans="1:13" x14ac:dyDescent="0.2">
      <c r="A21" s="2">
        <v>33.347999999999999</v>
      </c>
      <c r="B21" s="2">
        <v>17.722000000000001</v>
      </c>
      <c r="C21" s="2">
        <v>33.472999999999999</v>
      </c>
      <c r="D21" s="2">
        <v>21.658999999999999</v>
      </c>
      <c r="E21" s="2">
        <v>34.360999999999997</v>
      </c>
      <c r="F21" s="2">
        <v>42.389000000000003</v>
      </c>
      <c r="G21" s="2">
        <v>25.821999999999999</v>
      </c>
      <c r="H21" s="2">
        <v>126.099</v>
      </c>
      <c r="I21" s="2">
        <v>56.996000000000002</v>
      </c>
      <c r="J21" s="2">
        <v>17.056000000000001</v>
      </c>
      <c r="K21" s="2">
        <v>19.617000000000001</v>
      </c>
      <c r="L21" s="2">
        <v>30.239000000000001</v>
      </c>
      <c r="M21" s="2">
        <v>29.984999999999999</v>
      </c>
    </row>
    <row r="22" spans="1:13" x14ac:dyDescent="0.2">
      <c r="A22" s="2">
        <v>35.473999999999997</v>
      </c>
      <c r="B22" s="2">
        <v>19.366</v>
      </c>
      <c r="C22" s="2">
        <v>36.637</v>
      </c>
      <c r="D22" s="2">
        <v>23.396999999999998</v>
      </c>
      <c r="E22" s="2">
        <v>37.112000000000002</v>
      </c>
      <c r="F22" s="2">
        <v>46.857999999999997</v>
      </c>
      <c r="G22" s="2">
        <v>28.263000000000002</v>
      </c>
      <c r="H22" s="2">
        <v>137.16300000000001</v>
      </c>
      <c r="I22" s="2">
        <v>61.634</v>
      </c>
      <c r="J22" s="2">
        <v>18.623999999999999</v>
      </c>
      <c r="K22" s="2">
        <v>21.506</v>
      </c>
      <c r="L22" s="2">
        <v>33.826000000000001</v>
      </c>
      <c r="M22" s="2">
        <v>32.594999999999999</v>
      </c>
    </row>
    <row r="23" spans="1:13" x14ac:dyDescent="0.2">
      <c r="A23" s="2">
        <v>38.435000000000002</v>
      </c>
      <c r="B23" s="2">
        <v>21.337</v>
      </c>
      <c r="C23" s="2">
        <v>40.670999999999999</v>
      </c>
      <c r="D23" s="2">
        <v>26.17</v>
      </c>
      <c r="E23" s="2">
        <v>40.780999999999999</v>
      </c>
      <c r="F23" s="2">
        <v>50.555</v>
      </c>
      <c r="G23" s="2">
        <v>31.917000000000002</v>
      </c>
      <c r="H23" s="2">
        <v>146.946</v>
      </c>
      <c r="I23" s="2">
        <v>66.677999999999997</v>
      </c>
      <c r="J23" s="2">
        <v>20.431000000000001</v>
      </c>
      <c r="K23" s="2">
        <v>24.068000000000001</v>
      </c>
      <c r="L23" s="2">
        <v>38.796999999999997</v>
      </c>
      <c r="M23" s="2">
        <v>36.158000000000001</v>
      </c>
    </row>
    <row r="24" spans="1:13" x14ac:dyDescent="0.2">
      <c r="A24" s="2">
        <v>41.881</v>
      </c>
      <c r="B24" s="2">
        <v>23.661999999999999</v>
      </c>
      <c r="C24" s="2">
        <v>45.216000000000001</v>
      </c>
      <c r="D24" s="2">
        <v>30.734999999999999</v>
      </c>
      <c r="E24" s="2">
        <v>45.843000000000004</v>
      </c>
      <c r="F24" s="2">
        <v>55.731000000000002</v>
      </c>
      <c r="G24" s="2">
        <v>36.655000000000001</v>
      </c>
      <c r="H24" s="2">
        <v>151.88399999999999</v>
      </c>
      <c r="I24" s="2">
        <v>73.510999999999996</v>
      </c>
      <c r="J24" s="2">
        <v>23.189</v>
      </c>
      <c r="K24" s="2">
        <v>27.466000000000001</v>
      </c>
      <c r="L24" s="2">
        <v>45.017000000000003</v>
      </c>
      <c r="M24" s="2">
        <v>40.881999999999998</v>
      </c>
    </row>
    <row r="25" spans="1:13" x14ac:dyDescent="0.2">
      <c r="A25" s="2">
        <v>47.396999999999998</v>
      </c>
      <c r="B25" s="2">
        <v>27.13</v>
      </c>
      <c r="C25" s="2">
        <v>49.47</v>
      </c>
      <c r="D25" s="2">
        <v>35.338999999999999</v>
      </c>
      <c r="E25" s="2">
        <v>51.277000000000001</v>
      </c>
      <c r="F25" s="2">
        <v>61.511000000000003</v>
      </c>
      <c r="G25" s="2">
        <v>41.500999999999998</v>
      </c>
      <c r="H25" s="2">
        <v>155.971</v>
      </c>
      <c r="I25" s="2">
        <v>81.346999999999994</v>
      </c>
      <c r="J25" s="2">
        <v>26.326000000000001</v>
      </c>
      <c r="K25" s="2">
        <v>32.014000000000003</v>
      </c>
      <c r="L25" s="2">
        <v>53.9</v>
      </c>
      <c r="M25" s="2">
        <v>46.457000000000001</v>
      </c>
    </row>
    <row r="26" spans="1:13" x14ac:dyDescent="0.2">
      <c r="A26" s="2">
        <v>52.871000000000002</v>
      </c>
      <c r="B26" s="2">
        <v>31.132000000000001</v>
      </c>
      <c r="C26" s="2">
        <v>54.584000000000003</v>
      </c>
      <c r="D26" s="2">
        <v>39.524000000000001</v>
      </c>
      <c r="E26" s="2">
        <v>57.164999999999999</v>
      </c>
      <c r="F26" s="2">
        <v>66.626999999999995</v>
      </c>
      <c r="G26" s="2">
        <v>46.542000000000002</v>
      </c>
      <c r="H26" s="2">
        <v>166.922</v>
      </c>
      <c r="I26" s="2">
        <v>90.061000000000007</v>
      </c>
      <c r="J26" s="2">
        <v>30.282</v>
      </c>
      <c r="K26" s="2">
        <v>36.31</v>
      </c>
      <c r="L26" s="2">
        <v>61.012999999999998</v>
      </c>
      <c r="M26" s="2">
        <v>51.936999999999998</v>
      </c>
    </row>
    <row r="27" spans="1:13" x14ac:dyDescent="0.2">
      <c r="A27" s="2">
        <v>57.832999999999998</v>
      </c>
      <c r="B27" s="2">
        <v>34.131999999999998</v>
      </c>
      <c r="C27" s="2">
        <v>60.110999999999997</v>
      </c>
      <c r="D27" s="2">
        <v>43.414000000000001</v>
      </c>
      <c r="E27" s="2">
        <v>62.305</v>
      </c>
      <c r="F27" s="2">
        <v>71.966999999999999</v>
      </c>
      <c r="G27" s="2">
        <v>50.588000000000001</v>
      </c>
      <c r="H27" s="2">
        <v>176.43100000000001</v>
      </c>
      <c r="I27" s="2">
        <v>97.010999999999996</v>
      </c>
      <c r="J27" s="2">
        <v>33.613999999999997</v>
      </c>
      <c r="K27" s="2">
        <v>40.581000000000003</v>
      </c>
      <c r="L27" s="2">
        <v>68.070999999999998</v>
      </c>
      <c r="M27" s="2">
        <v>56.901000000000003</v>
      </c>
    </row>
    <row r="28" spans="1:13" x14ac:dyDescent="0.2">
      <c r="A28" s="2">
        <v>62.219000000000001</v>
      </c>
      <c r="B28" s="2">
        <v>36.162999999999997</v>
      </c>
      <c r="C28" s="2">
        <v>66.224999999999994</v>
      </c>
      <c r="D28" s="2">
        <v>46.814999999999998</v>
      </c>
      <c r="E28" s="2">
        <v>66.78</v>
      </c>
      <c r="F28" s="2">
        <v>75.272000000000006</v>
      </c>
      <c r="G28" s="2">
        <v>54.468000000000004</v>
      </c>
      <c r="H28" s="2">
        <v>196.56200000000001</v>
      </c>
      <c r="I28" s="2">
        <v>103.845</v>
      </c>
      <c r="J28" s="2">
        <v>36.237000000000002</v>
      </c>
      <c r="K28" s="2">
        <v>43.509</v>
      </c>
      <c r="L28" s="2">
        <v>74.498999999999995</v>
      </c>
      <c r="M28" s="2">
        <v>61.4</v>
      </c>
    </row>
    <row r="29" spans="1:13" x14ac:dyDescent="0.2">
      <c r="A29" s="2">
        <v>65.510999999999996</v>
      </c>
      <c r="B29" s="2">
        <v>37.133000000000003</v>
      </c>
      <c r="C29" s="2">
        <v>71.692999999999998</v>
      </c>
      <c r="D29" s="2">
        <v>49.722999999999999</v>
      </c>
      <c r="E29" s="2">
        <v>70.358999999999995</v>
      </c>
      <c r="F29" s="2">
        <v>77.997</v>
      </c>
      <c r="G29" s="2">
        <v>58.545999999999999</v>
      </c>
      <c r="H29" s="2">
        <v>210.55500000000001</v>
      </c>
      <c r="I29" s="2">
        <v>109.137</v>
      </c>
      <c r="J29" s="2">
        <v>38.249000000000002</v>
      </c>
      <c r="K29" s="2">
        <v>46.27</v>
      </c>
      <c r="L29" s="2">
        <v>79.894999999999996</v>
      </c>
      <c r="M29" s="2">
        <v>65.204999999999998</v>
      </c>
    </row>
    <row r="30" spans="1:13" x14ac:dyDescent="0.2">
      <c r="A30" s="2">
        <v>67.236000000000004</v>
      </c>
      <c r="B30" s="2">
        <v>39.018000000000001</v>
      </c>
      <c r="C30" s="2">
        <v>75.614000000000004</v>
      </c>
      <c r="D30" s="2">
        <v>50.148000000000003</v>
      </c>
      <c r="E30" s="2">
        <v>73.185000000000002</v>
      </c>
      <c r="F30" s="2">
        <v>80.266000000000005</v>
      </c>
      <c r="G30" s="2">
        <v>58.567999999999998</v>
      </c>
      <c r="H30" s="2">
        <v>213.857</v>
      </c>
      <c r="I30" s="2">
        <v>113.041</v>
      </c>
      <c r="J30" s="2">
        <v>40.518999999999998</v>
      </c>
      <c r="K30" s="2">
        <v>48.470999999999997</v>
      </c>
      <c r="L30" s="2">
        <v>83.495999999999995</v>
      </c>
      <c r="M30" s="2">
        <v>66.965000000000003</v>
      </c>
    </row>
    <row r="31" spans="1:13" x14ac:dyDescent="0.2">
      <c r="A31" s="2">
        <v>68.09</v>
      </c>
      <c r="B31" s="2">
        <v>40.137999999999998</v>
      </c>
      <c r="C31" s="2">
        <v>79.034000000000006</v>
      </c>
      <c r="D31" s="2">
        <v>51.527000000000001</v>
      </c>
      <c r="E31" s="2">
        <v>75.349999999999994</v>
      </c>
      <c r="F31" s="2">
        <v>82.072000000000003</v>
      </c>
      <c r="G31" s="2">
        <v>60.584000000000003</v>
      </c>
      <c r="H31" s="2">
        <v>217.374</v>
      </c>
      <c r="I31" s="2">
        <v>115.714</v>
      </c>
      <c r="J31" s="2">
        <v>43.341000000000001</v>
      </c>
      <c r="K31" s="2">
        <v>51.859000000000002</v>
      </c>
      <c r="L31" s="2">
        <v>86.090999999999994</v>
      </c>
      <c r="M31" s="2">
        <v>68.972999999999999</v>
      </c>
    </row>
    <row r="32" spans="1:13" x14ac:dyDescent="0.2">
      <c r="A32" s="2">
        <v>68.912000000000006</v>
      </c>
      <c r="B32" s="2">
        <v>41.777999999999999</v>
      </c>
      <c r="C32" s="2">
        <v>81.573999999999998</v>
      </c>
      <c r="D32" s="2">
        <v>53.828000000000003</v>
      </c>
      <c r="E32" s="2">
        <v>76.751999999999995</v>
      </c>
      <c r="F32" s="2">
        <v>84.59</v>
      </c>
      <c r="G32" s="2">
        <v>61.753999999999998</v>
      </c>
      <c r="H32" s="2">
        <v>210.792</v>
      </c>
      <c r="I32" s="2">
        <v>116.452</v>
      </c>
      <c r="J32" s="2">
        <v>46.360999999999997</v>
      </c>
      <c r="K32" s="2">
        <v>54.722000000000001</v>
      </c>
      <c r="L32" s="2">
        <v>88.831000000000003</v>
      </c>
      <c r="M32" s="2">
        <v>70.828999999999994</v>
      </c>
    </row>
    <row r="33" spans="1:13" x14ac:dyDescent="0.2">
      <c r="A33" s="2">
        <v>71.459999999999994</v>
      </c>
      <c r="B33" s="2">
        <v>43.231999999999999</v>
      </c>
      <c r="C33" s="2">
        <v>84.081000000000003</v>
      </c>
      <c r="D33" s="2">
        <v>56.393000000000001</v>
      </c>
      <c r="E33" s="2">
        <v>78.903000000000006</v>
      </c>
      <c r="F33" s="2">
        <v>86.02</v>
      </c>
      <c r="G33" s="2">
        <v>64.289000000000001</v>
      </c>
      <c r="H33" s="2">
        <v>206.042</v>
      </c>
      <c r="I33" s="2">
        <v>118.574</v>
      </c>
      <c r="J33" s="2">
        <v>49.087000000000003</v>
      </c>
      <c r="K33" s="2">
        <v>57.411000000000001</v>
      </c>
      <c r="L33" s="2">
        <v>93.683000000000007</v>
      </c>
      <c r="M33" s="2">
        <v>73.545000000000002</v>
      </c>
    </row>
    <row r="34" spans="1:13" x14ac:dyDescent="0.2">
      <c r="A34" s="2">
        <v>73.528999999999996</v>
      </c>
      <c r="B34" s="2">
        <v>44.680999999999997</v>
      </c>
      <c r="C34" s="2">
        <v>87.201999999999998</v>
      </c>
      <c r="D34" s="2">
        <v>58.61</v>
      </c>
      <c r="E34" s="2">
        <v>81.228999999999999</v>
      </c>
      <c r="F34" s="2">
        <v>86.652000000000001</v>
      </c>
      <c r="G34" s="2">
        <v>66.179000000000002</v>
      </c>
      <c r="H34" s="2">
        <v>203.845</v>
      </c>
      <c r="I34" s="2">
        <v>119.77500000000001</v>
      </c>
      <c r="J34" s="2">
        <v>52.061</v>
      </c>
      <c r="K34" s="2">
        <v>60.606000000000002</v>
      </c>
      <c r="L34" s="2">
        <v>95.257000000000005</v>
      </c>
      <c r="M34" s="2">
        <v>75.656999999999996</v>
      </c>
    </row>
    <row r="35" spans="1:13" x14ac:dyDescent="0.2">
      <c r="A35" s="2">
        <v>75.614999999999995</v>
      </c>
      <c r="B35" s="2">
        <v>45.978000000000002</v>
      </c>
      <c r="C35" s="2">
        <v>90.197999999999993</v>
      </c>
      <c r="D35" s="2">
        <v>61.308</v>
      </c>
      <c r="E35" s="2">
        <v>83.796999999999997</v>
      </c>
      <c r="F35" s="2">
        <v>87.391999999999996</v>
      </c>
      <c r="G35" s="2">
        <v>68.427999999999997</v>
      </c>
      <c r="H35" s="2">
        <v>202.08199999999999</v>
      </c>
      <c r="I35" s="2">
        <v>122.387</v>
      </c>
      <c r="J35" s="2">
        <v>55.084000000000003</v>
      </c>
      <c r="K35" s="2">
        <v>63.771999999999998</v>
      </c>
      <c r="L35" s="2">
        <v>93.924999999999997</v>
      </c>
      <c r="M35" s="2">
        <v>77.724000000000004</v>
      </c>
    </row>
    <row r="36" spans="1:13" x14ac:dyDescent="0.2">
      <c r="A36" s="2">
        <v>75.507999999999996</v>
      </c>
      <c r="B36" s="2">
        <v>48.576000000000001</v>
      </c>
      <c r="C36" s="2">
        <v>92.138999999999996</v>
      </c>
      <c r="D36" s="2">
        <v>63.863</v>
      </c>
      <c r="E36" s="2">
        <v>85.763000000000005</v>
      </c>
      <c r="F36" s="2">
        <v>88.647999999999996</v>
      </c>
      <c r="G36" s="2">
        <v>69.745999999999995</v>
      </c>
      <c r="H36" s="2">
        <v>199.99</v>
      </c>
      <c r="I36" s="2">
        <v>125.16</v>
      </c>
      <c r="J36" s="2">
        <v>57.009</v>
      </c>
      <c r="K36" s="2">
        <v>66.620999999999995</v>
      </c>
      <c r="L36" s="2">
        <v>97.076999999999998</v>
      </c>
      <c r="M36" s="2">
        <v>79.724000000000004</v>
      </c>
    </row>
    <row r="37" spans="1:13" x14ac:dyDescent="0.2">
      <c r="A37" s="2">
        <v>75.543000000000006</v>
      </c>
      <c r="B37" s="2">
        <v>52.250999999999998</v>
      </c>
      <c r="C37" s="2">
        <v>93.207999999999998</v>
      </c>
      <c r="D37" s="2">
        <v>65.870999999999995</v>
      </c>
      <c r="E37" s="2">
        <v>86.863</v>
      </c>
      <c r="F37" s="2">
        <v>90.025999999999996</v>
      </c>
      <c r="G37" s="2">
        <v>71.831999999999994</v>
      </c>
      <c r="H37" s="2">
        <v>198.423</v>
      </c>
      <c r="I37" s="2">
        <v>126.08799999999999</v>
      </c>
      <c r="J37" s="2">
        <v>59.287999999999997</v>
      </c>
      <c r="K37" s="2">
        <v>68.944999999999993</v>
      </c>
      <c r="L37" s="2">
        <v>94.572000000000003</v>
      </c>
      <c r="M37" s="2">
        <v>80.921000000000006</v>
      </c>
    </row>
    <row r="38" spans="1:13" x14ac:dyDescent="0.2">
      <c r="A38" s="2">
        <v>76.177999999999997</v>
      </c>
      <c r="B38" s="2">
        <v>56.156999999999996</v>
      </c>
      <c r="C38" s="2">
        <v>93.688000000000002</v>
      </c>
      <c r="D38" s="2">
        <v>67.298000000000002</v>
      </c>
      <c r="E38" s="2">
        <v>87.406999999999996</v>
      </c>
      <c r="F38" s="2">
        <v>91.143000000000001</v>
      </c>
      <c r="G38" s="2">
        <v>73.024000000000001</v>
      </c>
      <c r="H38" s="2">
        <v>198.81</v>
      </c>
      <c r="I38" s="2">
        <v>125.884</v>
      </c>
      <c r="J38" s="2">
        <v>60.88</v>
      </c>
      <c r="K38" s="2">
        <v>70.296999999999997</v>
      </c>
      <c r="L38" s="2">
        <v>91.599000000000004</v>
      </c>
      <c r="M38" s="2">
        <v>81.671999999999997</v>
      </c>
    </row>
    <row r="39" spans="1:13" x14ac:dyDescent="0.2">
      <c r="A39" s="2">
        <v>76.998999999999995</v>
      </c>
      <c r="B39" s="2">
        <v>58.567999999999998</v>
      </c>
      <c r="C39" s="2">
        <v>94.045000000000002</v>
      </c>
      <c r="D39" s="2">
        <v>68.653000000000006</v>
      </c>
      <c r="E39" s="2">
        <v>88.36</v>
      </c>
      <c r="F39" s="2">
        <v>93.265000000000001</v>
      </c>
      <c r="G39" s="2">
        <v>74.811000000000007</v>
      </c>
      <c r="H39" s="2">
        <v>196.16399999999999</v>
      </c>
      <c r="I39" s="2">
        <v>126.01900000000001</v>
      </c>
      <c r="J39" s="2">
        <v>62.225000000000001</v>
      </c>
      <c r="K39" s="2">
        <v>72.197999999999993</v>
      </c>
      <c r="L39" s="2">
        <v>87.88</v>
      </c>
      <c r="M39" s="2">
        <v>82.421999999999997</v>
      </c>
    </row>
    <row r="40" spans="1:13" x14ac:dyDescent="0.2">
      <c r="A40" s="2">
        <v>77.680999999999997</v>
      </c>
      <c r="B40" s="2">
        <v>61.057000000000002</v>
      </c>
      <c r="C40" s="2">
        <v>94.846999999999994</v>
      </c>
      <c r="D40" s="2">
        <v>70.075999999999993</v>
      </c>
      <c r="E40" s="2">
        <v>90.227999999999994</v>
      </c>
      <c r="F40" s="2">
        <v>94.429000000000002</v>
      </c>
      <c r="G40" s="2">
        <v>76.533000000000001</v>
      </c>
      <c r="H40" s="2">
        <v>190.738</v>
      </c>
      <c r="I40" s="2">
        <v>126.39700000000001</v>
      </c>
      <c r="J40" s="2">
        <v>63.152000000000001</v>
      </c>
      <c r="K40" s="2">
        <v>73.760999999999996</v>
      </c>
      <c r="L40" s="2">
        <v>88.962999999999994</v>
      </c>
      <c r="M40" s="2">
        <v>83.700999999999993</v>
      </c>
    </row>
    <row r="41" spans="1:13" x14ac:dyDescent="0.2">
      <c r="A41" s="2">
        <v>79.016999999999996</v>
      </c>
      <c r="B41" s="2">
        <v>63.933999999999997</v>
      </c>
      <c r="C41" s="2">
        <v>95.340999999999994</v>
      </c>
      <c r="D41" s="2">
        <v>71.430999999999997</v>
      </c>
      <c r="E41" s="2">
        <v>91.114999999999995</v>
      </c>
      <c r="F41" s="2">
        <v>94.894999999999996</v>
      </c>
      <c r="G41" s="2">
        <v>77.122</v>
      </c>
      <c r="H41" s="2">
        <v>184.27699999999999</v>
      </c>
      <c r="I41" s="2">
        <v>124.67100000000001</v>
      </c>
      <c r="J41" s="2">
        <v>64.009</v>
      </c>
      <c r="K41" s="2">
        <v>74.945999999999998</v>
      </c>
      <c r="L41" s="2">
        <v>87.575000000000003</v>
      </c>
      <c r="M41" s="2">
        <v>84.346999999999994</v>
      </c>
    </row>
    <row r="42" spans="1:13" x14ac:dyDescent="0.2">
      <c r="A42" s="2">
        <v>80.344999999999999</v>
      </c>
      <c r="B42" s="2">
        <v>65.215000000000003</v>
      </c>
      <c r="C42" s="2">
        <v>95.153000000000006</v>
      </c>
      <c r="D42" s="2">
        <v>72.762</v>
      </c>
      <c r="E42" s="2">
        <v>92.111000000000004</v>
      </c>
      <c r="F42" s="2">
        <v>95.292000000000002</v>
      </c>
      <c r="G42" s="2">
        <v>77.064999999999998</v>
      </c>
      <c r="H42" s="2">
        <v>170.35300000000001</v>
      </c>
      <c r="I42" s="2">
        <v>121.416</v>
      </c>
      <c r="J42" s="2">
        <v>64.88</v>
      </c>
      <c r="K42" s="2">
        <v>76.263000000000005</v>
      </c>
      <c r="L42" s="2">
        <v>85.62</v>
      </c>
      <c r="M42" s="2">
        <v>84.512</v>
      </c>
    </row>
    <row r="43" spans="1:13" x14ac:dyDescent="0.2">
      <c r="A43" s="2">
        <v>80.465000000000003</v>
      </c>
      <c r="B43" s="2">
        <v>67.061999999999998</v>
      </c>
      <c r="C43" s="2">
        <v>95.25</v>
      </c>
      <c r="D43" s="2">
        <v>73.700999999999993</v>
      </c>
      <c r="E43" s="2">
        <v>92.445999999999998</v>
      </c>
      <c r="F43" s="2">
        <v>95.649000000000001</v>
      </c>
      <c r="G43" s="2">
        <v>77.864000000000004</v>
      </c>
      <c r="H43" s="2">
        <v>154.91</v>
      </c>
      <c r="I43" s="2">
        <v>117.941</v>
      </c>
      <c r="J43" s="2">
        <v>65.447999999999993</v>
      </c>
      <c r="K43" s="2">
        <v>77.444999999999993</v>
      </c>
      <c r="L43" s="2">
        <v>80.688000000000002</v>
      </c>
      <c r="M43" s="2">
        <v>84.08</v>
      </c>
    </row>
    <row r="44" spans="1:13" x14ac:dyDescent="0.2">
      <c r="A44" s="2">
        <v>82.236999999999995</v>
      </c>
      <c r="B44" s="2">
        <v>68.86</v>
      </c>
      <c r="C44" s="2">
        <v>95.432000000000002</v>
      </c>
      <c r="D44" s="2">
        <v>75.024000000000001</v>
      </c>
      <c r="E44" s="2">
        <v>92.781000000000006</v>
      </c>
      <c r="F44" s="2">
        <v>95.587000000000003</v>
      </c>
      <c r="G44" s="2">
        <v>81.497</v>
      </c>
      <c r="H44" s="2">
        <v>141.404</v>
      </c>
      <c r="I44" s="2">
        <v>116.191</v>
      </c>
      <c r="J44" s="2">
        <v>65.912999999999997</v>
      </c>
      <c r="K44" s="2">
        <v>79.018000000000001</v>
      </c>
      <c r="L44" s="2">
        <v>88.132999999999996</v>
      </c>
      <c r="M44" s="2">
        <v>85.995999999999995</v>
      </c>
    </row>
    <row r="45" spans="1:13" x14ac:dyDescent="0.2">
      <c r="A45" s="2">
        <v>86.701999999999998</v>
      </c>
      <c r="B45" s="2">
        <v>70.992000000000004</v>
      </c>
      <c r="C45" s="2">
        <v>96.043000000000006</v>
      </c>
      <c r="D45" s="2">
        <v>76.63</v>
      </c>
      <c r="E45" s="2">
        <v>94.460999999999999</v>
      </c>
      <c r="F45" s="2">
        <v>95.191000000000003</v>
      </c>
      <c r="G45" s="2">
        <v>81.486000000000004</v>
      </c>
      <c r="H45" s="2">
        <v>133.93</v>
      </c>
      <c r="I45" s="2">
        <v>115.345</v>
      </c>
      <c r="J45" s="2">
        <v>67.209999999999994</v>
      </c>
      <c r="K45" s="2">
        <v>81.087000000000003</v>
      </c>
      <c r="L45" s="2">
        <v>92.111000000000004</v>
      </c>
      <c r="M45" s="2">
        <v>87.646000000000001</v>
      </c>
    </row>
    <row r="46" spans="1:13" x14ac:dyDescent="0.2">
      <c r="A46" s="2">
        <v>89.061000000000007</v>
      </c>
      <c r="B46" s="2">
        <v>74.234999999999999</v>
      </c>
      <c r="C46" s="2">
        <v>96.852000000000004</v>
      </c>
      <c r="D46" s="2">
        <v>78.747</v>
      </c>
      <c r="E46" s="2">
        <v>95.86</v>
      </c>
      <c r="F46" s="2">
        <v>95.823999999999998</v>
      </c>
      <c r="G46" s="2">
        <v>82.245999999999995</v>
      </c>
      <c r="H46" s="2">
        <v>129.40100000000001</v>
      </c>
      <c r="I46" s="2">
        <v>114.82</v>
      </c>
      <c r="J46" s="2">
        <v>68.356999999999999</v>
      </c>
      <c r="K46" s="2">
        <v>84.350999999999999</v>
      </c>
      <c r="L46" s="2">
        <v>88.484999999999999</v>
      </c>
      <c r="M46" s="2">
        <v>88.563000000000002</v>
      </c>
    </row>
    <row r="47" spans="1:13" x14ac:dyDescent="0.2">
      <c r="A47" s="2">
        <v>91.188000000000002</v>
      </c>
      <c r="B47" s="2">
        <v>79.947999999999993</v>
      </c>
      <c r="C47" s="2">
        <v>96.411000000000001</v>
      </c>
      <c r="D47" s="2">
        <v>81.040999999999997</v>
      </c>
      <c r="E47" s="2">
        <v>96.936000000000007</v>
      </c>
      <c r="F47" s="2">
        <v>97.611000000000004</v>
      </c>
      <c r="G47" s="2">
        <v>84.05</v>
      </c>
      <c r="H47" s="2">
        <v>125.958</v>
      </c>
      <c r="I47" s="2">
        <v>113.346</v>
      </c>
      <c r="J47" s="2">
        <v>70.364999999999995</v>
      </c>
      <c r="K47" s="2">
        <v>86.108999999999995</v>
      </c>
      <c r="L47" s="2">
        <v>88.832999999999998</v>
      </c>
      <c r="M47" s="2">
        <v>90.028000000000006</v>
      </c>
    </row>
    <row r="48" spans="1:13" x14ac:dyDescent="0.2">
      <c r="A48" s="2">
        <v>91.338999999999999</v>
      </c>
      <c r="B48" s="2">
        <v>89.218000000000004</v>
      </c>
      <c r="C48" s="2">
        <v>96.653000000000006</v>
      </c>
      <c r="D48" s="2">
        <v>83.659000000000006</v>
      </c>
      <c r="E48" s="2">
        <v>97.665000000000006</v>
      </c>
      <c r="F48" s="2">
        <v>98.161000000000001</v>
      </c>
      <c r="G48" s="2">
        <v>86.858999999999995</v>
      </c>
      <c r="H48" s="2">
        <v>123.166</v>
      </c>
      <c r="I48" s="2">
        <v>111.51600000000001</v>
      </c>
      <c r="J48" s="2">
        <v>74.03</v>
      </c>
      <c r="K48" s="2">
        <v>88.453999999999994</v>
      </c>
      <c r="L48" s="2">
        <v>92.134</v>
      </c>
      <c r="M48" s="2">
        <v>91.915999999999997</v>
      </c>
    </row>
    <row r="49" spans="1:13" x14ac:dyDescent="0.2">
      <c r="A49" s="2">
        <v>91.552000000000007</v>
      </c>
      <c r="B49" s="2">
        <v>89.231999999999999</v>
      </c>
      <c r="C49" s="2">
        <v>97.016999999999996</v>
      </c>
      <c r="D49" s="2">
        <v>87.528000000000006</v>
      </c>
      <c r="E49" s="2">
        <v>98.132000000000005</v>
      </c>
      <c r="F49" s="2">
        <v>98.959000000000003</v>
      </c>
      <c r="G49" s="2">
        <v>90.491</v>
      </c>
      <c r="H49" s="2">
        <v>121.282</v>
      </c>
      <c r="I49" s="2">
        <v>109.078</v>
      </c>
      <c r="J49" s="2">
        <v>77.516999999999996</v>
      </c>
      <c r="K49" s="2">
        <v>90.516000000000005</v>
      </c>
      <c r="L49" s="2">
        <v>93.179000000000002</v>
      </c>
      <c r="M49" s="2">
        <v>93.584000000000003</v>
      </c>
    </row>
    <row r="50" spans="1:13" x14ac:dyDescent="0.2">
      <c r="A50" s="2">
        <v>93.22</v>
      </c>
      <c r="B50" s="2">
        <v>89.623999999999995</v>
      </c>
      <c r="C50" s="2">
        <v>97.206000000000003</v>
      </c>
      <c r="D50" s="2">
        <v>91.242000000000004</v>
      </c>
      <c r="E50" s="2">
        <v>98.801000000000002</v>
      </c>
      <c r="F50" s="2">
        <v>99.203999999999994</v>
      </c>
      <c r="G50" s="2">
        <v>93.052999999999997</v>
      </c>
      <c r="H50" s="2">
        <v>113.05200000000001</v>
      </c>
      <c r="I50" s="2">
        <v>107.452</v>
      </c>
      <c r="J50" s="2">
        <v>81.552999999999997</v>
      </c>
      <c r="K50" s="2">
        <v>92.531999999999996</v>
      </c>
      <c r="L50" s="2">
        <v>97.948999999999998</v>
      </c>
      <c r="M50" s="2">
        <v>95.564999999999998</v>
      </c>
    </row>
    <row r="51" spans="1:13" x14ac:dyDescent="0.2">
      <c r="A51" s="2">
        <v>94.506</v>
      </c>
      <c r="B51" s="2">
        <v>91.275999999999996</v>
      </c>
      <c r="C51" s="2">
        <v>97.837000000000003</v>
      </c>
      <c r="D51" s="2">
        <v>94.171999999999997</v>
      </c>
      <c r="E51" s="2">
        <v>99.733000000000004</v>
      </c>
      <c r="F51" s="2">
        <v>99.748000000000005</v>
      </c>
      <c r="G51" s="2">
        <v>95.028999999999996</v>
      </c>
      <c r="H51" s="2">
        <v>110.3</v>
      </c>
      <c r="I51" s="2">
        <v>105.044</v>
      </c>
      <c r="J51" s="2">
        <v>84.85</v>
      </c>
      <c r="K51" s="2">
        <v>95.090999999999994</v>
      </c>
      <c r="L51" s="2">
        <v>104.41800000000001</v>
      </c>
      <c r="M51" s="2">
        <v>97.594999999999999</v>
      </c>
    </row>
    <row r="52" spans="1:13" x14ac:dyDescent="0.2">
      <c r="A52" s="2">
        <v>99.007000000000005</v>
      </c>
      <c r="B52" s="2">
        <v>94.495999999999995</v>
      </c>
      <c r="C52" s="2">
        <v>98.480999999999995</v>
      </c>
      <c r="D52" s="2">
        <v>97.203000000000003</v>
      </c>
      <c r="E52" s="2">
        <v>98.822000000000003</v>
      </c>
      <c r="F52" s="2">
        <v>100.26</v>
      </c>
      <c r="G52" s="2">
        <v>99.771000000000001</v>
      </c>
      <c r="H52" s="2">
        <v>109.29600000000001</v>
      </c>
      <c r="I52" s="2">
        <v>103.321</v>
      </c>
      <c r="J52" s="2">
        <v>90.05</v>
      </c>
      <c r="K52" s="2">
        <v>97.935000000000002</v>
      </c>
      <c r="L52" s="2">
        <v>109.181</v>
      </c>
      <c r="M52" s="2">
        <v>100.32599999999999</v>
      </c>
    </row>
    <row r="53" spans="1:13" x14ac:dyDescent="0.2">
      <c r="A53" s="2">
        <v>98.950999999999993</v>
      </c>
      <c r="B53" s="2">
        <v>96.6</v>
      </c>
      <c r="C53" s="2">
        <v>99.484999999999999</v>
      </c>
      <c r="D53" s="2">
        <v>98.019000000000005</v>
      </c>
      <c r="E53" s="2">
        <v>99.998000000000005</v>
      </c>
      <c r="F53" s="2">
        <v>100.06699999999999</v>
      </c>
      <c r="G53" s="2">
        <v>96.715000000000003</v>
      </c>
      <c r="H53" s="2">
        <v>105.41200000000001</v>
      </c>
      <c r="I53" s="2">
        <v>101.361</v>
      </c>
      <c r="J53" s="2">
        <v>97.040999999999997</v>
      </c>
      <c r="K53" s="2">
        <v>99.444999999999993</v>
      </c>
      <c r="L53" s="2">
        <v>98.448999999999998</v>
      </c>
      <c r="M53" s="2">
        <v>98.83</v>
      </c>
    </row>
    <row r="54" spans="1:13" x14ac:dyDescent="0.2">
      <c r="A54" s="2">
        <v>100</v>
      </c>
      <c r="B54" s="2">
        <v>100</v>
      </c>
      <c r="C54" s="2">
        <v>100</v>
      </c>
      <c r="D54" s="2">
        <v>100</v>
      </c>
      <c r="E54" s="2">
        <v>100</v>
      </c>
      <c r="F54" s="2">
        <v>100</v>
      </c>
      <c r="G54" s="2">
        <v>100</v>
      </c>
      <c r="H54" s="2">
        <v>100</v>
      </c>
      <c r="I54" s="2">
        <v>100</v>
      </c>
      <c r="J54" s="2">
        <v>100</v>
      </c>
      <c r="K54" s="2">
        <v>100</v>
      </c>
      <c r="L54" s="2">
        <v>100</v>
      </c>
      <c r="M54" s="2">
        <v>100</v>
      </c>
    </row>
    <row r="55" spans="1:13" x14ac:dyDescent="0.2">
      <c r="A55" s="2">
        <v>101.661</v>
      </c>
      <c r="B55" s="2">
        <v>104.494</v>
      </c>
      <c r="C55" s="2">
        <v>100.681</v>
      </c>
      <c r="D55" s="2">
        <v>102.434</v>
      </c>
      <c r="E55" s="2">
        <v>100.72499999999999</v>
      </c>
      <c r="F55" s="2">
        <v>100.255</v>
      </c>
      <c r="G55" s="2">
        <v>104.81100000000001</v>
      </c>
      <c r="H55" s="2">
        <v>93.82</v>
      </c>
      <c r="I55" s="2">
        <v>99.260999999999996</v>
      </c>
      <c r="J55" s="2">
        <v>101.916</v>
      </c>
      <c r="K55" s="2">
        <v>102.033</v>
      </c>
      <c r="L55" s="2">
        <v>101.98699999999999</v>
      </c>
      <c r="M55" s="2">
        <v>101.81699999999999</v>
      </c>
    </row>
    <row r="56" spans="1:13" x14ac:dyDescent="0.2">
      <c r="A56" s="2">
        <v>104.81699999999999</v>
      </c>
      <c r="B56" s="2">
        <v>109.86499999999999</v>
      </c>
      <c r="C56" s="2">
        <v>102.782</v>
      </c>
      <c r="D56" s="2">
        <v>104.997</v>
      </c>
      <c r="E56" s="2">
        <v>102.33</v>
      </c>
      <c r="F56" s="2">
        <v>100.071</v>
      </c>
      <c r="G56" s="2">
        <v>108</v>
      </c>
      <c r="H56" s="2">
        <v>79.819999999999993</v>
      </c>
      <c r="I56" s="2">
        <v>99.605000000000004</v>
      </c>
      <c r="J56" s="2">
        <v>102.998</v>
      </c>
      <c r="K56" s="2">
        <v>104.883</v>
      </c>
      <c r="L56" s="2">
        <v>101.23399999999999</v>
      </c>
      <c r="M56" s="2">
        <v>103.25</v>
      </c>
    </row>
    <row r="57" spans="1:13" x14ac:dyDescent="0.2">
      <c r="A57" s="2">
        <v>106.02200000000001</v>
      </c>
      <c r="B57" s="2">
        <v>115.702</v>
      </c>
      <c r="C57" s="2">
        <v>103.70399999999999</v>
      </c>
      <c r="D57" s="2">
        <v>106.94</v>
      </c>
      <c r="E57" s="2">
        <v>102.874</v>
      </c>
      <c r="F57" s="2">
        <v>99.441000000000003</v>
      </c>
      <c r="G57" s="2">
        <v>108.42700000000001</v>
      </c>
      <c r="H57" s="2">
        <v>67.741</v>
      </c>
      <c r="I57" s="2">
        <v>99.376999999999995</v>
      </c>
      <c r="J57" s="2">
        <v>103.77200000000001</v>
      </c>
      <c r="K57" s="2">
        <v>107.184</v>
      </c>
      <c r="L57" s="2">
        <v>102.054</v>
      </c>
      <c r="M57" s="2">
        <v>103.919</v>
      </c>
    </row>
    <row r="58" spans="1:13" x14ac:dyDescent="0.2">
      <c r="A58" s="2">
        <v>104.73399999999999</v>
      </c>
      <c r="B58" s="2">
        <v>119.639</v>
      </c>
      <c r="C58" s="2">
        <v>103.746</v>
      </c>
      <c r="D58" s="2">
        <v>108.369</v>
      </c>
      <c r="E58" s="2">
        <v>102.941</v>
      </c>
      <c r="F58" s="2">
        <v>98.781000000000006</v>
      </c>
      <c r="G58" s="2">
        <v>108.673</v>
      </c>
      <c r="H58" s="2">
        <v>63.128999999999998</v>
      </c>
      <c r="I58" s="2">
        <v>99.081000000000003</v>
      </c>
      <c r="J58" s="2">
        <v>104.31</v>
      </c>
      <c r="K58" s="2">
        <v>110.10599999999999</v>
      </c>
      <c r="L58" s="2">
        <v>100.718</v>
      </c>
      <c r="M58" s="2">
        <v>104.038</v>
      </c>
    </row>
    <row r="59" spans="1:13" x14ac:dyDescent="0.2">
      <c r="A59" s="2">
        <v>105.178</v>
      </c>
      <c r="B59" s="2">
        <v>120.226</v>
      </c>
      <c r="C59" s="2">
        <v>102.886</v>
      </c>
      <c r="D59" s="2">
        <v>108.876</v>
      </c>
      <c r="E59" s="2">
        <v>102.871</v>
      </c>
      <c r="F59" s="2">
        <v>97.771000000000001</v>
      </c>
      <c r="G59" s="2">
        <v>107.05200000000001</v>
      </c>
      <c r="H59" s="2">
        <v>60.655000000000001</v>
      </c>
      <c r="I59" s="2">
        <v>98.831000000000003</v>
      </c>
      <c r="J59" s="2">
        <v>104.95699999999999</v>
      </c>
      <c r="K59" s="2">
        <v>111.73</v>
      </c>
      <c r="L59" s="2">
        <v>103.79600000000001</v>
      </c>
      <c r="M59" s="2">
        <v>104.316</v>
      </c>
    </row>
    <row r="60" spans="1:13" x14ac:dyDescent="0.2">
      <c r="A60" s="2">
        <v>106.089</v>
      </c>
      <c r="B60" s="2">
        <v>120.76900000000001</v>
      </c>
      <c r="C60" s="2">
        <v>102.574</v>
      </c>
      <c r="D60" s="2">
        <v>109.032</v>
      </c>
      <c r="E60" s="2">
        <v>102.348</v>
      </c>
      <c r="F60" s="2">
        <v>96.96</v>
      </c>
      <c r="G60" s="2">
        <v>105.836</v>
      </c>
      <c r="H60" s="2">
        <v>59.61</v>
      </c>
      <c r="I60" s="2">
        <v>99.338999999999999</v>
      </c>
      <c r="J60" s="2">
        <v>105.80200000000001</v>
      </c>
      <c r="K60" s="2">
        <v>113.68899999999999</v>
      </c>
      <c r="L60" s="2">
        <v>102.758</v>
      </c>
      <c r="M60" s="2">
        <v>104.264</v>
      </c>
    </row>
    <row r="61" spans="1:13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1:13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1:13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1:13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1:13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1:13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pans="1:13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pans="1:13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pans="1:13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1:13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pans="1:13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1:13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1:13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1:13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1:13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1:13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1:13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pans="1:13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pans="1:13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pans="1:13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pans="1:13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pans="1:13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pans="1:13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pans="1:13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pans="1:13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pans="1:13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pans="1:13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pans="1:13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pans="1:13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1:13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1:13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1:13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pans="1:13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1:13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1:13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1:13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1:13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1:13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1:13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1:13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1:13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1:13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pans="1:13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pans="1:13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pans="1:13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1:13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1:13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pans="1:13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pans="1:13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pans="1:13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pans="1:13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pans="1:13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spans="1:13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pans="1:13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pans="1:13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spans="1:13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pans="1:13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Graphiques</vt:lpstr>
      </vt:variant>
      <vt:variant>
        <vt:i4>1</vt:i4>
      </vt:variant>
    </vt:vector>
  </HeadingPairs>
  <TitlesOfParts>
    <vt:vector size="4" baseType="lpstr">
      <vt:lpstr>data_factomineR</vt:lpstr>
      <vt:lpstr>data_insee</vt:lpstr>
      <vt:lpstr>Feuil1</vt:lpstr>
      <vt:lpstr>REVLIB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Zardoz</dc:creator>
  <cp:lastModifiedBy>Zardoz</cp:lastModifiedBy>
  <dcterms:created xsi:type="dcterms:W3CDTF">2017-07-20T08:08:12Z</dcterms:created>
  <dcterms:modified xsi:type="dcterms:W3CDTF">2018-08-08T11:41:59Z</dcterms:modified>
</cp:coreProperties>
</file>