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120" windowWidth="21840" windowHeight="12600" firstSheet="1" activeTab="5"/>
  </bookViews>
  <sheets>
    <sheet name="notes à faire" sheetId="6" r:id="rId1"/>
    <sheet name="dep_pre_eng_2010" sheetId="1" r:id="rId2"/>
    <sheet name="DEP_ACP_VULN2010" sheetId="2" r:id="rId3"/>
    <sheet name="dep_pre_eng_nomi" sheetId="3" r:id="rId4"/>
    <sheet name="Evolution_DEPCONTR" sheetId="5" r:id="rId5"/>
    <sheet name="DEPCONTRACPVULN" sheetId="4" r:id="rId6"/>
  </sheets>
  <calcPr calcId="145621"/>
</workbook>
</file>

<file path=xl/calcChain.xml><?xml version="1.0" encoding="utf-8"?>
<calcChain xmlns="http://schemas.openxmlformats.org/spreadsheetml/2006/main">
  <c r="V8" i="4" l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V19" i="4" s="1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2" i="4"/>
  <c r="R27" i="4"/>
  <c r="R19" i="4"/>
  <c r="T27" i="4"/>
  <c r="T19" i="4"/>
  <c r="H59" i="4"/>
  <c r="G59" i="4"/>
  <c r="F59" i="4"/>
  <c r="E59" i="4"/>
  <c r="D59" i="4"/>
  <c r="C59" i="4"/>
  <c r="B59" i="4"/>
  <c r="H58" i="4"/>
  <c r="G58" i="4"/>
  <c r="F58" i="4"/>
  <c r="E58" i="4"/>
  <c r="D58" i="4"/>
  <c r="C58" i="4"/>
  <c r="B58" i="4"/>
  <c r="H57" i="4"/>
  <c r="G57" i="4"/>
  <c r="F57" i="4"/>
  <c r="E57" i="4"/>
  <c r="D57" i="4"/>
  <c r="C57" i="4"/>
  <c r="B57" i="4"/>
  <c r="H56" i="4"/>
  <c r="G56" i="4"/>
  <c r="F56" i="4"/>
  <c r="E56" i="4"/>
  <c r="D56" i="4"/>
  <c r="C56" i="4"/>
  <c r="B56" i="4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I52" i="4" s="1"/>
  <c r="B52" i="4"/>
  <c r="H51" i="4"/>
  <c r="G51" i="4"/>
  <c r="F51" i="4"/>
  <c r="E51" i="4"/>
  <c r="D51" i="4"/>
  <c r="C51" i="4"/>
  <c r="B51" i="4"/>
  <c r="H50" i="4"/>
  <c r="G50" i="4"/>
  <c r="F50" i="4"/>
  <c r="E50" i="4"/>
  <c r="D50" i="4"/>
  <c r="C50" i="4"/>
  <c r="B50" i="4"/>
  <c r="H49" i="4"/>
  <c r="G49" i="4"/>
  <c r="F49" i="4"/>
  <c r="E49" i="4"/>
  <c r="D49" i="4"/>
  <c r="C49" i="4"/>
  <c r="B49" i="4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I43" i="4" s="1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I27" i="4" s="1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I19" i="4" s="1"/>
  <c r="L19" i="4" s="1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I8" i="4" s="1"/>
  <c r="H7" i="4"/>
  <c r="G7" i="4"/>
  <c r="F7" i="4"/>
  <c r="E7" i="4"/>
  <c r="D7" i="4"/>
  <c r="C7" i="4"/>
  <c r="B7" i="4"/>
  <c r="H6" i="4"/>
  <c r="G6" i="4"/>
  <c r="F6" i="4"/>
  <c r="E6" i="4"/>
  <c r="D6" i="4"/>
  <c r="C6" i="4"/>
  <c r="B6" i="4"/>
  <c r="H5" i="4"/>
  <c r="G5" i="4"/>
  <c r="F5" i="4"/>
  <c r="E5" i="4"/>
  <c r="D5" i="4"/>
  <c r="C5" i="4"/>
  <c r="B5" i="4"/>
  <c r="H4" i="4"/>
  <c r="G4" i="4"/>
  <c r="F4" i="4"/>
  <c r="E4" i="4"/>
  <c r="D4" i="4"/>
  <c r="C4" i="4"/>
  <c r="B4" i="4"/>
  <c r="H3" i="4"/>
  <c r="G3" i="4"/>
  <c r="F3" i="4"/>
  <c r="E3" i="4"/>
  <c r="D3" i="4"/>
  <c r="C3" i="4"/>
  <c r="B3" i="4"/>
  <c r="H2" i="4"/>
  <c r="E2" i="4"/>
  <c r="F2" i="4"/>
  <c r="G2" i="4"/>
  <c r="D2" i="4"/>
  <c r="C2" i="4"/>
  <c r="B2" i="4"/>
  <c r="J48" i="2"/>
  <c r="K48" i="2"/>
  <c r="L48" i="2"/>
  <c r="M48" i="2"/>
  <c r="L4" i="2"/>
  <c r="M4" i="2"/>
  <c r="N4" i="2"/>
  <c r="O4" i="2"/>
  <c r="P4" i="2"/>
  <c r="J9" i="2"/>
  <c r="K9" i="2"/>
  <c r="L9" i="2"/>
  <c r="M9" i="2"/>
  <c r="N9" i="2"/>
  <c r="O9" i="2"/>
  <c r="P9" i="2"/>
  <c r="J10" i="2"/>
  <c r="K10" i="2"/>
  <c r="N10" i="2"/>
  <c r="O10" i="2"/>
  <c r="P10" i="2"/>
  <c r="M20" i="2"/>
  <c r="N20" i="2"/>
  <c r="O20" i="2"/>
  <c r="M28" i="2"/>
  <c r="N28" i="2"/>
  <c r="O28" i="2"/>
  <c r="P28" i="2"/>
  <c r="J29" i="2"/>
  <c r="K29" i="2"/>
  <c r="L29" i="2"/>
  <c r="M29" i="2"/>
  <c r="N29" i="2"/>
  <c r="O29" i="2"/>
  <c r="P29" i="2"/>
  <c r="L36" i="2"/>
  <c r="M36" i="2"/>
  <c r="N36" i="2"/>
  <c r="O36" i="2"/>
  <c r="P36" i="2"/>
  <c r="K2" i="2"/>
  <c r="L2" i="2"/>
  <c r="M2" i="2"/>
  <c r="I36" i="2"/>
  <c r="K36" i="2" s="1"/>
  <c r="I35" i="2"/>
  <c r="I34" i="2"/>
  <c r="I33" i="2"/>
  <c r="J33" i="2" s="1"/>
  <c r="I32" i="2"/>
  <c r="P32" i="2" s="1"/>
  <c r="I29" i="2"/>
  <c r="I28" i="2"/>
  <c r="I4" i="2"/>
  <c r="J4" i="2" s="1"/>
  <c r="I3" i="2"/>
  <c r="H59" i="2"/>
  <c r="G59" i="2"/>
  <c r="F59" i="2"/>
  <c r="E59" i="2"/>
  <c r="D59" i="2"/>
  <c r="H58" i="2"/>
  <c r="G58" i="2"/>
  <c r="F58" i="2"/>
  <c r="E58" i="2"/>
  <c r="D58" i="2"/>
  <c r="H57" i="2"/>
  <c r="G57" i="2"/>
  <c r="F57" i="2"/>
  <c r="E57" i="2"/>
  <c r="D57" i="2"/>
  <c r="H56" i="2"/>
  <c r="G56" i="2"/>
  <c r="F56" i="2"/>
  <c r="E56" i="2"/>
  <c r="D56" i="2"/>
  <c r="H55" i="2"/>
  <c r="G55" i="2"/>
  <c r="F55" i="2"/>
  <c r="E55" i="2"/>
  <c r="D55" i="2"/>
  <c r="H54" i="2"/>
  <c r="G54" i="2"/>
  <c r="F54" i="2"/>
  <c r="E54" i="2"/>
  <c r="D54" i="2"/>
  <c r="H53" i="2"/>
  <c r="G53" i="2"/>
  <c r="F53" i="2"/>
  <c r="E53" i="2"/>
  <c r="D53" i="2"/>
  <c r="H52" i="2"/>
  <c r="G52" i="2"/>
  <c r="F52" i="2"/>
  <c r="N52" i="2" s="1"/>
  <c r="E52" i="2"/>
  <c r="M52" i="2" s="1"/>
  <c r="D52" i="2"/>
  <c r="L52" i="2" s="1"/>
  <c r="H51" i="2"/>
  <c r="G51" i="2"/>
  <c r="F51" i="2"/>
  <c r="E51" i="2"/>
  <c r="D51" i="2"/>
  <c r="H50" i="2"/>
  <c r="G50" i="2"/>
  <c r="F50" i="2"/>
  <c r="E50" i="2"/>
  <c r="D50" i="2"/>
  <c r="H49" i="2"/>
  <c r="G49" i="2"/>
  <c r="F49" i="2"/>
  <c r="E49" i="2"/>
  <c r="D49" i="2"/>
  <c r="H48" i="2"/>
  <c r="G48" i="2"/>
  <c r="F48" i="2"/>
  <c r="E48" i="2"/>
  <c r="D48" i="2"/>
  <c r="H47" i="2"/>
  <c r="G47" i="2"/>
  <c r="F47" i="2"/>
  <c r="E47" i="2"/>
  <c r="D47" i="2"/>
  <c r="H46" i="2"/>
  <c r="G46" i="2"/>
  <c r="F46" i="2"/>
  <c r="E46" i="2"/>
  <c r="D46" i="2"/>
  <c r="H45" i="2"/>
  <c r="G45" i="2"/>
  <c r="F45" i="2"/>
  <c r="E45" i="2"/>
  <c r="D45" i="2"/>
  <c r="H44" i="2"/>
  <c r="G44" i="2"/>
  <c r="F44" i="2"/>
  <c r="E44" i="2"/>
  <c r="D44" i="2"/>
  <c r="H43" i="2"/>
  <c r="G43" i="2"/>
  <c r="F43" i="2"/>
  <c r="E43" i="2"/>
  <c r="D43" i="2"/>
  <c r="H42" i="2"/>
  <c r="G42" i="2"/>
  <c r="F42" i="2"/>
  <c r="E42" i="2"/>
  <c r="D42" i="2"/>
  <c r="H41" i="2"/>
  <c r="G41" i="2"/>
  <c r="F41" i="2"/>
  <c r="E41" i="2"/>
  <c r="D41" i="2"/>
  <c r="H40" i="2"/>
  <c r="G40" i="2"/>
  <c r="F40" i="2"/>
  <c r="E40" i="2"/>
  <c r="D40" i="2"/>
  <c r="H39" i="2"/>
  <c r="G39" i="2"/>
  <c r="F39" i="2"/>
  <c r="E39" i="2"/>
  <c r="D39" i="2"/>
  <c r="H38" i="2"/>
  <c r="P38" i="2" s="1"/>
  <c r="G38" i="2"/>
  <c r="O38" i="2" s="1"/>
  <c r="F38" i="2"/>
  <c r="N38" i="2" s="1"/>
  <c r="E38" i="2"/>
  <c r="M38" i="2" s="1"/>
  <c r="D38" i="2"/>
  <c r="I38" i="2" s="1"/>
  <c r="J38" i="2" s="1"/>
  <c r="H37" i="2"/>
  <c r="G37" i="2"/>
  <c r="F37" i="2"/>
  <c r="E37" i="2"/>
  <c r="D37" i="2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28" i="2"/>
  <c r="G28" i="2"/>
  <c r="F28" i="2"/>
  <c r="E28" i="2"/>
  <c r="D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2" i="2"/>
  <c r="G22" i="2"/>
  <c r="F22" i="2"/>
  <c r="E22" i="2"/>
  <c r="D22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I10" i="2" s="1"/>
  <c r="L10" i="2" s="1"/>
  <c r="H9" i="2"/>
  <c r="G9" i="2"/>
  <c r="F9" i="2"/>
  <c r="E9" i="2"/>
  <c r="D9" i="2"/>
  <c r="I9" i="2" s="1"/>
  <c r="H8" i="2"/>
  <c r="G8" i="2"/>
  <c r="F8" i="2"/>
  <c r="E8" i="2"/>
  <c r="D8" i="2"/>
  <c r="H7" i="2"/>
  <c r="G7" i="2"/>
  <c r="F7" i="2"/>
  <c r="E7" i="2"/>
  <c r="D7" i="2"/>
  <c r="H6" i="2"/>
  <c r="P6" i="2" s="1"/>
  <c r="G6" i="2"/>
  <c r="O6" i="2" s="1"/>
  <c r="F6" i="2"/>
  <c r="N6" i="2" s="1"/>
  <c r="E6" i="2"/>
  <c r="M6" i="2" s="1"/>
  <c r="D6" i="2"/>
  <c r="I6" i="2" s="1"/>
  <c r="J6" i="2" s="1"/>
  <c r="H5" i="2"/>
  <c r="G5" i="2"/>
  <c r="F5" i="2"/>
  <c r="E5" i="2"/>
  <c r="D5" i="2"/>
  <c r="H4" i="2"/>
  <c r="G4" i="2"/>
  <c r="F4" i="2"/>
  <c r="E4" i="2"/>
  <c r="D4" i="2"/>
  <c r="H3" i="2"/>
  <c r="G3" i="2"/>
  <c r="F3" i="2"/>
  <c r="E3" i="2"/>
  <c r="D3" i="2"/>
  <c r="H2" i="2"/>
  <c r="G2" i="2"/>
  <c r="E2" i="2"/>
  <c r="F2" i="2"/>
  <c r="D2" i="2"/>
  <c r="I2" i="2" s="1"/>
  <c r="C59" i="2"/>
  <c r="C58" i="2"/>
  <c r="C57" i="2"/>
  <c r="C56" i="2"/>
  <c r="C55" i="2"/>
  <c r="C54" i="2"/>
  <c r="C53" i="2"/>
  <c r="C52" i="2"/>
  <c r="I52" i="2" s="1"/>
  <c r="J52" i="2" s="1"/>
  <c r="C51" i="2"/>
  <c r="C50" i="2"/>
  <c r="C49" i="2"/>
  <c r="C48" i="2"/>
  <c r="I48" i="2" s="1"/>
  <c r="C47" i="2"/>
  <c r="C46" i="2"/>
  <c r="C45" i="2"/>
  <c r="C44" i="2"/>
  <c r="C43" i="2"/>
  <c r="I43" i="2" s="1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K28" i="2" s="1"/>
  <c r="C27" i="2"/>
  <c r="C26" i="2"/>
  <c r="C25" i="2"/>
  <c r="C24" i="2"/>
  <c r="C23" i="2"/>
  <c r="I23" i="2" s="1"/>
  <c r="L23" i="2" s="1"/>
  <c r="C22" i="2"/>
  <c r="C21" i="2"/>
  <c r="I21" i="2" s="1"/>
  <c r="J21" i="2" s="1"/>
  <c r="C20" i="2"/>
  <c r="I20" i="2" s="1"/>
  <c r="J20" i="2" s="1"/>
  <c r="C19" i="2"/>
  <c r="C18" i="2"/>
  <c r="C17" i="2"/>
  <c r="C16" i="2"/>
  <c r="I16" i="2" s="1"/>
  <c r="J16" i="2" s="1"/>
  <c r="C15" i="2"/>
  <c r="C14" i="2"/>
  <c r="C13" i="2"/>
  <c r="C12" i="2"/>
  <c r="C11" i="2"/>
  <c r="I11" i="2" s="1"/>
  <c r="C10" i="2"/>
  <c r="C9" i="2"/>
  <c r="C8" i="2"/>
  <c r="C7" i="2"/>
  <c r="C6" i="2"/>
  <c r="C5" i="2"/>
  <c r="C4" i="2"/>
  <c r="C3" i="2"/>
  <c r="C2" i="2"/>
  <c r="J23" i="2" l="1"/>
  <c r="J11" i="2"/>
  <c r="K11" i="2"/>
  <c r="L11" i="2"/>
  <c r="M11" i="2"/>
  <c r="N11" i="2"/>
  <c r="I37" i="2"/>
  <c r="O37" i="2" s="1"/>
  <c r="K34" i="2"/>
  <c r="J34" i="2"/>
  <c r="J35" i="2"/>
  <c r="P35" i="2"/>
  <c r="O35" i="2"/>
  <c r="I44" i="2"/>
  <c r="J44" i="2" s="1"/>
  <c r="K44" i="2"/>
  <c r="I30" i="2"/>
  <c r="P30" i="2" s="1"/>
  <c r="N56" i="2"/>
  <c r="I45" i="2"/>
  <c r="J45" i="2" s="1"/>
  <c r="K45" i="2"/>
  <c r="P11" i="2"/>
  <c r="N37" i="2"/>
  <c r="M50" i="2"/>
  <c r="I14" i="2"/>
  <c r="M14" i="2" s="1"/>
  <c r="K14" i="2"/>
  <c r="O5" i="2"/>
  <c r="K33" i="2"/>
  <c r="N48" i="2"/>
  <c r="O48" i="2"/>
  <c r="P48" i="2"/>
  <c r="M57" i="2"/>
  <c r="K49" i="2"/>
  <c r="N57" i="2"/>
  <c r="I5" i="2"/>
  <c r="M5" i="2"/>
  <c r="I31" i="2"/>
  <c r="J31" i="2" s="1"/>
  <c r="O58" i="2"/>
  <c r="P58" i="2"/>
  <c r="M23" i="2"/>
  <c r="O11" i="2"/>
  <c r="O43" i="2"/>
  <c r="O24" i="2"/>
  <c r="M31" i="2"/>
  <c r="P5" i="2"/>
  <c r="K50" i="2"/>
  <c r="N23" i="2"/>
  <c r="O23" i="2"/>
  <c r="P23" i="2"/>
  <c r="K23" i="2"/>
  <c r="J32" i="2"/>
  <c r="K32" i="2"/>
  <c r="O32" i="2"/>
  <c r="N32" i="2"/>
  <c r="M32" i="2"/>
  <c r="J43" i="2"/>
  <c r="L43" i="2"/>
  <c r="M43" i="2"/>
  <c r="K43" i="2"/>
  <c r="N43" i="2"/>
  <c r="I12" i="2"/>
  <c r="J12" i="2" s="1"/>
  <c r="K12" i="2"/>
  <c r="N24" i="2"/>
  <c r="L50" i="2"/>
  <c r="I13" i="2"/>
  <c r="J13" i="2" s="1"/>
  <c r="K13" i="2"/>
  <c r="N5" i="2"/>
  <c r="P43" i="2"/>
  <c r="O56" i="2"/>
  <c r="I46" i="2"/>
  <c r="J46" i="2" s="1"/>
  <c r="K46" i="2"/>
  <c r="L12" i="2"/>
  <c r="P24" i="2"/>
  <c r="L44" i="2"/>
  <c r="P56" i="2"/>
  <c r="I15" i="2"/>
  <c r="K15" i="2"/>
  <c r="M12" i="2"/>
  <c r="N31" i="2"/>
  <c r="L57" i="2"/>
  <c r="L32" i="2"/>
  <c r="I49" i="2"/>
  <c r="I50" i="2"/>
  <c r="J50" i="2" s="1"/>
  <c r="L20" i="2"/>
  <c r="N13" i="2"/>
  <c r="I56" i="2"/>
  <c r="K25" i="2"/>
  <c r="L27" i="2"/>
  <c r="O52" i="2"/>
  <c r="K26" i="2"/>
  <c r="I8" i="2"/>
  <c r="L8" i="2"/>
  <c r="P52" i="2"/>
  <c r="L53" i="2"/>
  <c r="I20" i="4"/>
  <c r="M53" i="2"/>
  <c r="O53" i="2"/>
  <c r="K38" i="2"/>
  <c r="O2" i="2"/>
  <c r="I22" i="2"/>
  <c r="K22" i="2" s="1"/>
  <c r="I44" i="4"/>
  <c r="O44" i="4" s="1"/>
  <c r="O50" i="2"/>
  <c r="P18" i="2"/>
  <c r="K52" i="2"/>
  <c r="L26" i="2"/>
  <c r="I53" i="2"/>
  <c r="K53" i="2"/>
  <c r="N26" i="2"/>
  <c r="M33" i="2"/>
  <c r="N33" i="2"/>
  <c r="L59" i="2"/>
  <c r="K16" i="2"/>
  <c r="I58" i="2"/>
  <c r="I40" i="2"/>
  <c r="L6" i="2"/>
  <c r="O27" i="2"/>
  <c r="K6" i="2"/>
  <c r="P27" i="2"/>
  <c r="L19" i="2"/>
  <c r="I54" i="2"/>
  <c r="I55" i="2"/>
  <c r="L55" i="2" s="1"/>
  <c r="M27" i="2"/>
  <c r="I47" i="2"/>
  <c r="M47" i="2" s="1"/>
  <c r="K47" i="2"/>
  <c r="L33" i="2"/>
  <c r="V52" i="4"/>
  <c r="R52" i="4"/>
  <c r="T52" i="4"/>
  <c r="O33" i="2"/>
  <c r="M25" i="2"/>
  <c r="P50" i="2"/>
  <c r="O12" i="2"/>
  <c r="P25" i="2"/>
  <c r="K21" i="2"/>
  <c r="I39" i="2"/>
  <c r="J39" i="2" s="1"/>
  <c r="O13" i="2"/>
  <c r="P26" i="2"/>
  <c r="P39" i="2"/>
  <c r="K43" i="4"/>
  <c r="R43" i="4"/>
  <c r="T43" i="4"/>
  <c r="V43" i="4"/>
  <c r="N46" i="2"/>
  <c r="K59" i="2"/>
  <c r="N27" i="2"/>
  <c r="N2" i="2"/>
  <c r="M34" i="2"/>
  <c r="L38" i="2"/>
  <c r="I48" i="4"/>
  <c r="I24" i="2"/>
  <c r="K24" i="2" s="1"/>
  <c r="P16" i="2"/>
  <c r="I27" i="2"/>
  <c r="J27" i="2" s="1"/>
  <c r="L28" i="2"/>
  <c r="J28" i="2"/>
  <c r="L25" i="2"/>
  <c r="N12" i="2"/>
  <c r="I17" i="2"/>
  <c r="I18" i="2"/>
  <c r="J18" i="2" s="1"/>
  <c r="O25" i="2"/>
  <c r="I19" i="2"/>
  <c r="J19" i="2" s="1"/>
  <c r="K19" i="2"/>
  <c r="I51" i="2"/>
  <c r="J51" i="2" s="1"/>
  <c r="M13" i="2"/>
  <c r="I7" i="2"/>
  <c r="J7" i="2" s="1"/>
  <c r="L7" i="2"/>
  <c r="K20" i="2"/>
  <c r="M7" i="2"/>
  <c r="M39" i="2"/>
  <c r="O26" i="2"/>
  <c r="O39" i="2"/>
  <c r="I57" i="2"/>
  <c r="P20" i="2"/>
  <c r="M59" i="2"/>
  <c r="P33" i="2"/>
  <c r="P2" i="2"/>
  <c r="J2" i="2"/>
  <c r="L34" i="2"/>
  <c r="N53" i="2"/>
  <c r="I25" i="2"/>
  <c r="J25" i="2" s="1"/>
  <c r="I26" i="2"/>
  <c r="J26" i="2" s="1"/>
  <c r="K27" i="2"/>
  <c r="O21" i="2"/>
  <c r="N59" i="2"/>
  <c r="M21" i="2"/>
  <c r="N40" i="2"/>
  <c r="I49" i="4"/>
  <c r="P49" i="4" s="1"/>
  <c r="O8" i="2"/>
  <c r="O40" i="2"/>
  <c r="K31" i="2"/>
  <c r="P21" i="2"/>
  <c r="O34" i="2"/>
  <c r="N8" i="4"/>
  <c r="M41" i="2"/>
  <c r="I45" i="4"/>
  <c r="L3" i="2"/>
  <c r="I59" i="2"/>
  <c r="J59" i="2" s="1"/>
  <c r="L16" i="2"/>
  <c r="L21" i="2"/>
  <c r="T8" i="4"/>
  <c r="R8" i="4"/>
  <c r="O59" i="2"/>
  <c r="N34" i="2"/>
  <c r="I41" i="2"/>
  <c r="L35" i="2"/>
  <c r="K35" i="2"/>
  <c r="N35" i="2"/>
  <c r="M10" i="2"/>
  <c r="N21" i="2"/>
  <c r="P59" i="2"/>
  <c r="P8" i="2"/>
  <c r="J3" i="2"/>
  <c r="O3" i="2"/>
  <c r="P3" i="2"/>
  <c r="P34" i="2"/>
  <c r="L27" i="4"/>
  <c r="V27" i="4"/>
  <c r="N41" i="2"/>
  <c r="M3" i="2"/>
  <c r="M35" i="2"/>
  <c r="K3" i="2"/>
  <c r="N3" i="2"/>
  <c r="M16" i="2"/>
  <c r="P41" i="2"/>
  <c r="N16" i="2"/>
  <c r="L42" i="2"/>
  <c r="O16" i="2"/>
  <c r="I32" i="4"/>
  <c r="I42" i="2"/>
  <c r="I10" i="4"/>
  <c r="J36" i="2"/>
  <c r="I56" i="4"/>
  <c r="K4" i="2"/>
  <c r="J12" i="4"/>
  <c r="I4" i="4"/>
  <c r="N4" i="4"/>
  <c r="M8" i="4"/>
  <c r="J8" i="4"/>
  <c r="M19" i="4"/>
  <c r="J19" i="4"/>
  <c r="M27" i="4"/>
  <c r="J27" i="4"/>
  <c r="I28" i="4"/>
  <c r="N28" i="4" s="1"/>
  <c r="I39" i="4"/>
  <c r="O39" i="4" s="1"/>
  <c r="M43" i="4"/>
  <c r="P19" i="4"/>
  <c r="L4" i="4"/>
  <c r="P4" i="4"/>
  <c r="M12" i="4"/>
  <c r="I31" i="4"/>
  <c r="I6" i="4"/>
  <c r="L8" i="4"/>
  <c r="P8" i="4"/>
  <c r="L10" i="4"/>
  <c r="I11" i="4"/>
  <c r="I12" i="4"/>
  <c r="N12" i="4" s="1"/>
  <c r="I14" i="4"/>
  <c r="I23" i="4"/>
  <c r="I24" i="4"/>
  <c r="I35" i="4"/>
  <c r="O6" i="4"/>
  <c r="K11" i="4"/>
  <c r="K4" i="4"/>
  <c r="O4" i="4"/>
  <c r="M6" i="4"/>
  <c r="K8" i="4"/>
  <c r="O8" i="4"/>
  <c r="M10" i="4"/>
  <c r="P11" i="4"/>
  <c r="K12" i="4"/>
  <c r="O12" i="4"/>
  <c r="M14" i="4"/>
  <c r="I33" i="4"/>
  <c r="I3" i="4"/>
  <c r="N6" i="4"/>
  <c r="I7" i="4"/>
  <c r="N14" i="4"/>
  <c r="I15" i="4"/>
  <c r="I29" i="4"/>
  <c r="P29" i="4"/>
  <c r="K32" i="4"/>
  <c r="O32" i="4"/>
  <c r="I17" i="4"/>
  <c r="I21" i="4"/>
  <c r="I25" i="4"/>
  <c r="L25" i="4"/>
  <c r="K6" i="4"/>
  <c r="N7" i="4"/>
  <c r="K10" i="4"/>
  <c r="N11" i="4"/>
  <c r="O14" i="4"/>
  <c r="K24" i="4"/>
  <c r="I5" i="4"/>
  <c r="J6" i="4"/>
  <c r="I9" i="4"/>
  <c r="J10" i="4"/>
  <c r="I13" i="4"/>
  <c r="K17" i="4"/>
  <c r="O19" i="4"/>
  <c r="L20" i="4"/>
  <c r="O27" i="4"/>
  <c r="J29" i="4"/>
  <c r="O31" i="4"/>
  <c r="L32" i="4"/>
  <c r="P32" i="4"/>
  <c r="O43" i="4"/>
  <c r="J48" i="4"/>
  <c r="N48" i="4"/>
  <c r="J52" i="4"/>
  <c r="N52" i="4"/>
  <c r="J56" i="4"/>
  <c r="N56" i="4"/>
  <c r="K14" i="4"/>
  <c r="P15" i="4"/>
  <c r="I18" i="4"/>
  <c r="I22" i="4"/>
  <c r="K25" i="4"/>
  <c r="O25" i="4"/>
  <c r="I26" i="4"/>
  <c r="P27" i="4"/>
  <c r="I30" i="4"/>
  <c r="N30" i="4"/>
  <c r="P31" i="4"/>
  <c r="I34" i="4"/>
  <c r="P34" i="4" s="1"/>
  <c r="I36" i="4"/>
  <c r="I38" i="4"/>
  <c r="I40" i="4"/>
  <c r="I42" i="4"/>
  <c r="O48" i="4"/>
  <c r="J51" i="4"/>
  <c r="O52" i="4"/>
  <c r="O56" i="4"/>
  <c r="J43" i="4"/>
  <c r="J17" i="4"/>
  <c r="N19" i="4"/>
  <c r="K19" i="4"/>
  <c r="N23" i="4"/>
  <c r="N27" i="4"/>
  <c r="K27" i="4"/>
  <c r="N31" i="4"/>
  <c r="I37" i="4"/>
  <c r="N39" i="4"/>
  <c r="I41" i="4"/>
  <c r="N43" i="4"/>
  <c r="I16" i="4"/>
  <c r="J20" i="4"/>
  <c r="L30" i="4"/>
  <c r="P30" i="4"/>
  <c r="J32" i="4"/>
  <c r="N32" i="4"/>
  <c r="L34" i="4"/>
  <c r="L48" i="4"/>
  <c r="P48" i="4"/>
  <c r="K51" i="4"/>
  <c r="L52" i="4"/>
  <c r="P52" i="4"/>
  <c r="O55" i="4"/>
  <c r="L56" i="4"/>
  <c r="P56" i="4"/>
  <c r="O17" i="4"/>
  <c r="J37" i="4"/>
  <c r="K38" i="4"/>
  <c r="O38" i="4"/>
  <c r="L39" i="4"/>
  <c r="P39" i="4"/>
  <c r="J41" i="4"/>
  <c r="L43" i="4"/>
  <c r="P43" i="4"/>
  <c r="M48" i="4"/>
  <c r="M52" i="4"/>
  <c r="I47" i="4"/>
  <c r="I51" i="4"/>
  <c r="I55" i="4"/>
  <c r="I59" i="4"/>
  <c r="I46" i="4"/>
  <c r="N46" i="4" s="1"/>
  <c r="K48" i="4"/>
  <c r="I50" i="4"/>
  <c r="K52" i="4"/>
  <c r="I54" i="4"/>
  <c r="K56" i="4"/>
  <c r="I58" i="4"/>
  <c r="J58" i="4" s="1"/>
  <c r="I53" i="4"/>
  <c r="I57" i="4"/>
  <c r="I2" i="4"/>
  <c r="P16" i="4" l="1"/>
  <c r="V16" i="4"/>
  <c r="R16" i="4"/>
  <c r="T16" i="4"/>
  <c r="R45" i="4"/>
  <c r="V45" i="4"/>
  <c r="T45" i="4"/>
  <c r="K33" i="4"/>
  <c r="T33" i="4"/>
  <c r="R33" i="4"/>
  <c r="V33" i="4"/>
  <c r="O9" i="4"/>
  <c r="T9" i="4"/>
  <c r="R9" i="4"/>
  <c r="V9" i="4"/>
  <c r="L54" i="2"/>
  <c r="J54" i="2"/>
  <c r="N54" i="2"/>
  <c r="O54" i="2"/>
  <c r="M54" i="2"/>
  <c r="P54" i="2"/>
  <c r="O53" i="4"/>
  <c r="V53" i="4"/>
  <c r="R53" i="4"/>
  <c r="T53" i="4"/>
  <c r="V20" i="4"/>
  <c r="T20" i="4"/>
  <c r="R20" i="4"/>
  <c r="N54" i="4"/>
  <c r="V54" i="4"/>
  <c r="R54" i="4"/>
  <c r="T54" i="4"/>
  <c r="J50" i="4"/>
  <c r="V50" i="4"/>
  <c r="R50" i="4"/>
  <c r="T50" i="4"/>
  <c r="L14" i="2"/>
  <c r="K49" i="4"/>
  <c r="P46" i="2"/>
  <c r="J58" i="2"/>
  <c r="K58" i="2"/>
  <c r="L58" i="2"/>
  <c r="M58" i="2"/>
  <c r="L45" i="4"/>
  <c r="K28" i="4"/>
  <c r="N17" i="2"/>
  <c r="O17" i="2"/>
  <c r="J17" i="2"/>
  <c r="L17" i="2"/>
  <c r="P17" i="2"/>
  <c r="M17" i="2"/>
  <c r="K44" i="4"/>
  <c r="K17" i="2"/>
  <c r="K59" i="4"/>
  <c r="V59" i="4"/>
  <c r="R59" i="4"/>
  <c r="T59" i="4"/>
  <c r="O45" i="4"/>
  <c r="P25" i="4"/>
  <c r="V25" i="4"/>
  <c r="R25" i="4"/>
  <c r="T25" i="4"/>
  <c r="V56" i="4"/>
  <c r="T56" i="4"/>
  <c r="R56" i="4"/>
  <c r="N51" i="2"/>
  <c r="L46" i="2"/>
  <c r="J55" i="4"/>
  <c r="V55" i="4"/>
  <c r="R55" i="4"/>
  <c r="T55" i="4"/>
  <c r="K45" i="4"/>
  <c r="O21" i="4"/>
  <c r="V21" i="4"/>
  <c r="T21" i="4"/>
  <c r="R21" i="4"/>
  <c r="L35" i="4"/>
  <c r="R35" i="4"/>
  <c r="T35" i="4"/>
  <c r="V35" i="4"/>
  <c r="N30" i="2"/>
  <c r="M44" i="2"/>
  <c r="P7" i="2"/>
  <c r="L56" i="2"/>
  <c r="M56" i="2"/>
  <c r="J56" i="2"/>
  <c r="J5" i="2"/>
  <c r="K5" i="2"/>
  <c r="L5" i="2"/>
  <c r="N14" i="2"/>
  <c r="M51" i="4"/>
  <c r="V51" i="4"/>
  <c r="R51" i="4"/>
  <c r="T51" i="4"/>
  <c r="M45" i="4"/>
  <c r="N44" i="4"/>
  <c r="M17" i="4"/>
  <c r="V17" i="4"/>
  <c r="T17" i="4"/>
  <c r="R17" i="4"/>
  <c r="M24" i="4"/>
  <c r="V24" i="4"/>
  <c r="R24" i="4"/>
  <c r="T24" i="4"/>
  <c r="P10" i="4"/>
  <c r="R10" i="4"/>
  <c r="T10" i="4"/>
  <c r="V10" i="4"/>
  <c r="N55" i="2"/>
  <c r="N19" i="2"/>
  <c r="K56" i="2"/>
  <c r="O47" i="4"/>
  <c r="R47" i="4"/>
  <c r="V47" i="4"/>
  <c r="T47" i="4"/>
  <c r="P44" i="4"/>
  <c r="P45" i="4"/>
  <c r="J44" i="4"/>
  <c r="O10" i="4"/>
  <c r="V23" i="4"/>
  <c r="T23" i="4"/>
  <c r="R23" i="4"/>
  <c r="O42" i="2"/>
  <c r="P42" i="2"/>
  <c r="J42" i="2"/>
  <c r="K42" i="2"/>
  <c r="M42" i="2"/>
  <c r="N42" i="2"/>
  <c r="J41" i="2"/>
  <c r="K41" i="2"/>
  <c r="K7" i="2"/>
  <c r="O55" i="2"/>
  <c r="K51" i="2"/>
  <c r="N39" i="2"/>
  <c r="P31" i="2"/>
  <c r="M56" i="4"/>
  <c r="L44" i="4"/>
  <c r="J34" i="4"/>
  <c r="P14" i="4"/>
  <c r="R14" i="4"/>
  <c r="V14" i="4"/>
  <c r="T14" i="4"/>
  <c r="T32" i="4"/>
  <c r="R32" i="4"/>
  <c r="V32" i="4"/>
  <c r="L41" i="2"/>
  <c r="L30" i="2"/>
  <c r="P44" i="2"/>
  <c r="P51" i="2"/>
  <c r="N7" i="2"/>
  <c r="P13" i="2"/>
  <c r="N42" i="4"/>
  <c r="R42" i="4"/>
  <c r="V42" i="4"/>
  <c r="T42" i="4"/>
  <c r="M32" i="4"/>
  <c r="M19" i="2"/>
  <c r="M26" i="2"/>
  <c r="M37" i="2"/>
  <c r="L13" i="4"/>
  <c r="R13" i="4"/>
  <c r="V13" i="4"/>
  <c r="T13" i="4"/>
  <c r="J55" i="2"/>
  <c r="M55" i="2"/>
  <c r="P55" i="2"/>
  <c r="M22" i="2"/>
  <c r="J22" i="2"/>
  <c r="N22" i="2"/>
  <c r="O22" i="2"/>
  <c r="P22" i="2"/>
  <c r="J2" i="4"/>
  <c r="T2" i="4"/>
  <c r="V2" i="4"/>
  <c r="R2" i="4"/>
  <c r="K18" i="4"/>
  <c r="V18" i="4"/>
  <c r="T18" i="4"/>
  <c r="R18" i="4"/>
  <c r="O15" i="2"/>
  <c r="P15" i="2"/>
  <c r="J15" i="2"/>
  <c r="L15" i="2"/>
  <c r="M15" i="2"/>
  <c r="N15" i="2"/>
  <c r="O5" i="4"/>
  <c r="R5" i="4"/>
  <c r="T5" i="4"/>
  <c r="V5" i="4"/>
  <c r="O7" i="2"/>
  <c r="K30" i="2"/>
  <c r="K8" i="2"/>
  <c r="J8" i="2"/>
  <c r="R4" i="4"/>
  <c r="T4" i="4"/>
  <c r="V4" i="4"/>
  <c r="P53" i="4"/>
  <c r="P19" i="2"/>
  <c r="N45" i="2"/>
  <c r="N8" i="2"/>
  <c r="J4" i="4"/>
  <c r="L13" i="2"/>
  <c r="P12" i="2"/>
  <c r="N50" i="2"/>
  <c r="N3" i="4"/>
  <c r="T3" i="4"/>
  <c r="R3" i="4"/>
  <c r="V3" i="4"/>
  <c r="J47" i="2"/>
  <c r="O47" i="2"/>
  <c r="P47" i="2"/>
  <c r="O14" i="2"/>
  <c r="J14" i="2"/>
  <c r="P14" i="2"/>
  <c r="O41" i="4"/>
  <c r="T41" i="4"/>
  <c r="R41" i="4"/>
  <c r="V41" i="4"/>
  <c r="V22" i="4"/>
  <c r="R22" i="4"/>
  <c r="T22" i="4"/>
  <c r="L22" i="2"/>
  <c r="R37" i="4"/>
  <c r="T37" i="4"/>
  <c r="V37" i="4"/>
  <c r="K54" i="2"/>
  <c r="L58" i="4"/>
  <c r="V58" i="4"/>
  <c r="T58" i="4"/>
  <c r="R58" i="4"/>
  <c r="N47" i="2"/>
  <c r="V49" i="4"/>
  <c r="R49" i="4"/>
  <c r="T49" i="4"/>
  <c r="M53" i="4"/>
  <c r="O45" i="2"/>
  <c r="L50" i="4"/>
  <c r="L47" i="2"/>
  <c r="K40" i="2"/>
  <c r="J40" i="2"/>
  <c r="L40" i="2"/>
  <c r="O20" i="4"/>
  <c r="M40" i="2"/>
  <c r="L39" i="2"/>
  <c r="M18" i="2"/>
  <c r="M49" i="4"/>
  <c r="K20" i="4"/>
  <c r="M8" i="2"/>
  <c r="L31" i="2"/>
  <c r="L40" i="4"/>
  <c r="T40" i="4"/>
  <c r="R40" i="4"/>
  <c r="V40" i="4"/>
  <c r="P12" i="4"/>
  <c r="R12" i="4"/>
  <c r="T12" i="4"/>
  <c r="V12" i="4"/>
  <c r="N38" i="4"/>
  <c r="R38" i="4"/>
  <c r="T38" i="4"/>
  <c r="V38" i="4"/>
  <c r="M11" i="4"/>
  <c r="R11" i="4"/>
  <c r="T11" i="4"/>
  <c r="V11" i="4"/>
  <c r="J53" i="2"/>
  <c r="P53" i="2"/>
  <c r="J49" i="4"/>
  <c r="L29" i="4"/>
  <c r="T29" i="4"/>
  <c r="R29" i="4"/>
  <c r="V29" i="4"/>
  <c r="M45" i="2"/>
  <c r="N45" i="4"/>
  <c r="M34" i="4"/>
  <c r="T34" i="4"/>
  <c r="R34" i="4"/>
  <c r="V34" i="4"/>
  <c r="P28" i="4"/>
  <c r="L24" i="2"/>
  <c r="M24" i="2"/>
  <c r="J24" i="2"/>
  <c r="O19" i="2"/>
  <c r="J45" i="4"/>
  <c r="P6" i="4"/>
  <c r="T6" i="4"/>
  <c r="R6" i="4"/>
  <c r="V6" i="4"/>
  <c r="P40" i="2"/>
  <c r="L45" i="2"/>
  <c r="N24" i="4"/>
  <c r="J25" i="4"/>
  <c r="O41" i="2"/>
  <c r="J24" i="4"/>
  <c r="T30" i="4"/>
  <c r="R30" i="4"/>
  <c r="V30" i="4"/>
  <c r="O23" i="4"/>
  <c r="N10" i="4"/>
  <c r="M4" i="4"/>
  <c r="M46" i="2"/>
  <c r="L51" i="2"/>
  <c r="M49" i="2"/>
  <c r="L49" i="2"/>
  <c r="N49" i="2"/>
  <c r="J49" i="2"/>
  <c r="O49" i="2"/>
  <c r="P49" i="2"/>
  <c r="K26" i="4"/>
  <c r="V26" i="4"/>
  <c r="R26" i="4"/>
  <c r="T26" i="4"/>
  <c r="R44" i="4"/>
  <c r="T44" i="4"/>
  <c r="V44" i="4"/>
  <c r="K55" i="2"/>
  <c r="P57" i="4"/>
  <c r="V57" i="4"/>
  <c r="R57" i="4"/>
  <c r="T57" i="4"/>
  <c r="M39" i="4"/>
  <c r="T39" i="4"/>
  <c r="R39" i="4"/>
  <c r="V39" i="4"/>
  <c r="M28" i="4"/>
  <c r="R28" i="4"/>
  <c r="V28" i="4"/>
  <c r="T28" i="4"/>
  <c r="J30" i="2"/>
  <c r="M30" i="2"/>
  <c r="O30" i="2"/>
  <c r="P45" i="2"/>
  <c r="M51" i="2"/>
  <c r="L49" i="4"/>
  <c r="O49" i="4"/>
  <c r="M20" i="4"/>
  <c r="P46" i="4"/>
  <c r="R46" i="4"/>
  <c r="V46" i="4"/>
  <c r="T46" i="4"/>
  <c r="O28" i="4"/>
  <c r="O44" i="2"/>
  <c r="K18" i="2"/>
  <c r="O46" i="2"/>
  <c r="O50" i="4"/>
  <c r="J37" i="2"/>
  <c r="K37" i="2"/>
  <c r="L37" i="2"/>
  <c r="N49" i="4"/>
  <c r="K39" i="2"/>
  <c r="L18" i="2"/>
  <c r="M38" i="4"/>
  <c r="O51" i="2"/>
  <c r="L36" i="4"/>
  <c r="R36" i="4"/>
  <c r="T36" i="4"/>
  <c r="V36" i="4"/>
  <c r="M15" i="4"/>
  <c r="R15" i="4"/>
  <c r="V15" i="4"/>
  <c r="T15" i="4"/>
  <c r="P37" i="2"/>
  <c r="V48" i="4"/>
  <c r="R48" i="4"/>
  <c r="T48" i="4"/>
  <c r="O18" i="2"/>
  <c r="M44" i="4"/>
  <c r="J14" i="4"/>
  <c r="N20" i="4"/>
  <c r="K29" i="4"/>
  <c r="P20" i="4"/>
  <c r="O7" i="4"/>
  <c r="T7" i="4"/>
  <c r="R7" i="4"/>
  <c r="V7" i="4"/>
  <c r="T31" i="4"/>
  <c r="R31" i="4"/>
  <c r="V31" i="4"/>
  <c r="P57" i="2"/>
  <c r="J57" i="2"/>
  <c r="O57" i="2"/>
  <c r="K57" i="2"/>
  <c r="N25" i="2"/>
  <c r="N44" i="2"/>
  <c r="O31" i="2"/>
  <c r="N18" i="2"/>
  <c r="N58" i="2"/>
  <c r="J42" i="4"/>
  <c r="P47" i="4"/>
  <c r="M16" i="4"/>
  <c r="N47" i="4"/>
  <c r="O35" i="4"/>
  <c r="N16" i="4"/>
  <c r="L55" i="4"/>
  <c r="L47" i="4"/>
  <c r="K42" i="4"/>
  <c r="P35" i="4"/>
  <c r="N35" i="4"/>
  <c r="P24" i="4"/>
  <c r="L5" i="4"/>
  <c r="J15" i="4"/>
  <c r="K13" i="4"/>
  <c r="L23" i="4"/>
  <c r="J23" i="4"/>
  <c r="L31" i="4"/>
  <c r="J31" i="4"/>
  <c r="L12" i="4"/>
  <c r="J53" i="4"/>
  <c r="K46" i="4"/>
  <c r="N41" i="4"/>
  <c r="J28" i="4"/>
  <c r="L41" i="4"/>
  <c r="K31" i="4"/>
  <c r="K23" i="4"/>
  <c r="N17" i="4"/>
  <c r="O29" i="4"/>
  <c r="P17" i="4"/>
  <c r="L28" i="4"/>
  <c r="L24" i="4"/>
  <c r="O24" i="4"/>
  <c r="J7" i="4"/>
  <c r="L16" i="4"/>
  <c r="N13" i="4"/>
  <c r="L11" i="4"/>
  <c r="L7" i="4"/>
  <c r="K41" i="4"/>
  <c r="O11" i="4"/>
  <c r="J11" i="4"/>
  <c r="M23" i="4"/>
  <c r="M31" i="4"/>
  <c r="L6" i="4"/>
  <c r="L14" i="4"/>
  <c r="K35" i="4"/>
  <c r="J35" i="4"/>
  <c r="O42" i="4"/>
  <c r="M42" i="4"/>
  <c r="O16" i="4"/>
  <c r="K7" i="4"/>
  <c r="M7" i="4"/>
  <c r="M35" i="4"/>
  <c r="K39" i="4"/>
  <c r="J39" i="4"/>
  <c r="P23" i="4"/>
  <c r="P59" i="4"/>
  <c r="P37" i="4"/>
  <c r="M37" i="4"/>
  <c r="M22" i="4"/>
  <c r="O22" i="4"/>
  <c r="K57" i="4"/>
  <c r="P54" i="4"/>
  <c r="J40" i="4"/>
  <c r="N36" i="4"/>
  <c r="N33" i="4"/>
  <c r="M33" i="4"/>
  <c r="O58" i="4"/>
  <c r="P51" i="4"/>
  <c r="K58" i="4"/>
  <c r="P55" i="4"/>
  <c r="N53" i="4"/>
  <c r="L51" i="4"/>
  <c r="O46" i="4"/>
  <c r="N37" i="4"/>
  <c r="N58" i="4"/>
  <c r="J54" i="4"/>
  <c r="O51" i="4"/>
  <c r="K47" i="4"/>
  <c r="N59" i="4"/>
  <c r="L57" i="4"/>
  <c r="M54" i="4"/>
  <c r="N51" i="4"/>
  <c r="K40" i="4"/>
  <c r="K36" i="4"/>
  <c r="O33" i="4"/>
  <c r="M30" i="4"/>
  <c r="O30" i="4"/>
  <c r="N26" i="4"/>
  <c r="N22" i="4"/>
  <c r="N18" i="4"/>
  <c r="O57" i="4"/>
  <c r="M55" i="4"/>
  <c r="K53" i="4"/>
  <c r="P50" i="4"/>
  <c r="L46" i="4"/>
  <c r="N40" i="4"/>
  <c r="L38" i="4"/>
  <c r="J33" i="4"/>
  <c r="J21" i="4"/>
  <c r="J30" i="4"/>
  <c r="L21" i="4"/>
  <c r="K37" i="4"/>
  <c r="L17" i="4"/>
  <c r="L33" i="4"/>
  <c r="N9" i="4"/>
  <c r="P7" i="4"/>
  <c r="J5" i="4"/>
  <c r="K30" i="4"/>
  <c r="M13" i="4"/>
  <c r="P9" i="4"/>
  <c r="O34" i="4"/>
  <c r="O13" i="4"/>
  <c r="K9" i="4"/>
  <c r="N57" i="4"/>
  <c r="J59" i="4"/>
  <c r="M18" i="4"/>
  <c r="O18" i="4"/>
  <c r="L59" i="4"/>
  <c r="J57" i="4"/>
  <c r="O54" i="4"/>
  <c r="K50" i="4"/>
  <c r="M36" i="4"/>
  <c r="O59" i="4"/>
  <c r="M57" i="4"/>
  <c r="K55" i="4"/>
  <c r="N50" i="4"/>
  <c r="J46" i="4"/>
  <c r="P26" i="4"/>
  <c r="P22" i="4"/>
  <c r="P18" i="4"/>
  <c r="P41" i="4"/>
  <c r="M41" i="4"/>
  <c r="L37" i="4"/>
  <c r="M58" i="4"/>
  <c r="N55" i="4"/>
  <c r="L53" i="4"/>
  <c r="M50" i="4"/>
  <c r="J47" i="4"/>
  <c r="N34" i="4"/>
  <c r="P58" i="4"/>
  <c r="L54" i="4"/>
  <c r="M47" i="4"/>
  <c r="P42" i="4"/>
  <c r="J36" i="4"/>
  <c r="J16" i="4"/>
  <c r="L9" i="4"/>
  <c r="O36" i="4"/>
  <c r="N25" i="4"/>
  <c r="M25" i="4"/>
  <c r="P40" i="4"/>
  <c r="O15" i="4"/>
  <c r="N15" i="4"/>
  <c r="O40" i="4"/>
  <c r="K16" i="4"/>
  <c r="J13" i="4"/>
  <c r="J38" i="4"/>
  <c r="J22" i="4"/>
  <c r="J18" i="4"/>
  <c r="M5" i="4"/>
  <c r="P13" i="4"/>
  <c r="P5" i="4"/>
  <c r="K5" i="4"/>
  <c r="M3" i="4"/>
  <c r="K3" i="4"/>
  <c r="M26" i="4"/>
  <c r="O26" i="4"/>
  <c r="M59" i="4"/>
  <c r="N21" i="4"/>
  <c r="M21" i="4"/>
  <c r="J9" i="4"/>
  <c r="J26" i="4"/>
  <c r="L3" i="4"/>
  <c r="K54" i="4"/>
  <c r="M40" i="4"/>
  <c r="L26" i="4"/>
  <c r="L22" i="4"/>
  <c r="L18" i="4"/>
  <c r="M46" i="4"/>
  <c r="K21" i="4"/>
  <c r="L42" i="4"/>
  <c r="P38" i="4"/>
  <c r="K34" i="4"/>
  <c r="P21" i="4"/>
  <c r="O37" i="4"/>
  <c r="N29" i="4"/>
  <c r="M29" i="4"/>
  <c r="P33" i="4"/>
  <c r="K22" i="4"/>
  <c r="L15" i="4"/>
  <c r="N5" i="4"/>
  <c r="P3" i="4"/>
  <c r="P36" i="4"/>
  <c r="K15" i="4"/>
  <c r="M9" i="4"/>
  <c r="O3" i="4"/>
  <c r="J3" i="4"/>
  <c r="O2" i="4"/>
  <c r="M2" i="4"/>
  <c r="K2" i="4"/>
  <c r="P2" i="4"/>
  <c r="N2" i="4"/>
  <c r="L2" i="4"/>
</calcChain>
</file>

<file path=xl/comments1.xml><?xml version="1.0" encoding="utf-8"?>
<comments xmlns="http://schemas.openxmlformats.org/spreadsheetml/2006/main">
  <authors>
    <author>Franck</author>
  </authors>
  <commentList>
    <comment ref="C1" authorId="0">
      <text>
        <r>
          <rPr>
            <sz val="9"/>
            <color indexed="81"/>
            <rFont val="Tahoma"/>
            <family val="2"/>
          </rPr>
          <t xml:space="preserve">Hors loyers imputés
</t>
        </r>
      </text>
    </comment>
  </commentList>
</comments>
</file>

<file path=xl/comments2.xml><?xml version="1.0" encoding="utf-8"?>
<comments xmlns="http://schemas.openxmlformats.org/spreadsheetml/2006/main">
  <authors>
    <author>Franck</author>
  </authors>
  <commentList>
    <comment ref="C1" authorId="0">
      <text>
        <r>
          <rPr>
            <sz val="9"/>
            <color indexed="81"/>
            <rFont val="Tahoma"/>
            <family val="2"/>
          </rPr>
          <t xml:space="preserve">Hors loyers imputés
</t>
        </r>
      </text>
    </comment>
  </commentList>
</comments>
</file>

<file path=xl/sharedStrings.xml><?xml version="1.0" encoding="utf-8"?>
<sst xmlns="http://schemas.openxmlformats.org/spreadsheetml/2006/main" count="161" uniqueCount="85">
  <si>
    <t>Code</t>
  </si>
  <si>
    <t xml:space="preserve">    04</t>
  </si>
  <si>
    <t xml:space="preserve">        04.1</t>
  </si>
  <si>
    <t xml:space="preserve">        04.2</t>
  </si>
  <si>
    <t xml:space="preserve">        04.3</t>
  </si>
  <si>
    <t xml:space="preserve">        04.4</t>
  </si>
  <si>
    <t xml:space="preserve">            04.4.1</t>
  </si>
  <si>
    <t xml:space="preserve">            04.4.2</t>
  </si>
  <si>
    <t xml:space="preserve">            04.4.3</t>
  </si>
  <si>
    <t xml:space="preserve">            04.4.4</t>
  </si>
  <si>
    <t xml:space="preserve">        04.5</t>
  </si>
  <si>
    <t xml:space="preserve">            04.5.1</t>
  </si>
  <si>
    <t xml:space="preserve">            04.5.2</t>
  </si>
  <si>
    <t xml:space="preserve">            04.5.3</t>
  </si>
  <si>
    <t xml:space="preserve">            04.5.4</t>
  </si>
  <si>
    <t xml:space="preserve">            04.5.5</t>
  </si>
  <si>
    <t xml:space="preserve">    08.3</t>
  </si>
  <si>
    <t xml:space="preserve">    09.4.2.p</t>
  </si>
  <si>
    <t xml:space="preserve">    11.1.2</t>
  </si>
  <si>
    <t xml:space="preserve">    12.5.p</t>
  </si>
  <si>
    <t xml:space="preserve">        12.5.2</t>
  </si>
  <si>
    <t xml:space="preserve">        12.5.3</t>
  </si>
  <si>
    <t xml:space="preserve">        12.5.4</t>
  </si>
  <si>
    <t xml:space="preserve">        12.5.5</t>
  </si>
  <si>
    <t xml:space="preserve">    12.6</t>
  </si>
  <si>
    <t xml:space="preserve">        12.6.1</t>
  </si>
  <si>
    <t xml:space="preserve">        12.6.2</t>
  </si>
  <si>
    <t>Logement, eau, gaz, électricité et autres combustibles</t>
  </si>
  <si>
    <t>Loyers effectifs</t>
  </si>
  <si>
    <t>Loyers imputés</t>
  </si>
  <si>
    <t>Entretien et réparation des logements</t>
  </si>
  <si>
    <t>Autres services liés au logement</t>
  </si>
  <si>
    <t>Distribution d'eau</t>
  </si>
  <si>
    <t>Collecte des ordures ménagères</t>
  </si>
  <si>
    <t>Services d'assainissement</t>
  </si>
  <si>
    <t>Ramonage, gardiennage, et entretien des ascenseurs</t>
  </si>
  <si>
    <t>Électricité, gaz et autres combustibles</t>
  </si>
  <si>
    <t>Électricité</t>
  </si>
  <si>
    <t>Gaz</t>
  </si>
  <si>
    <t>Combustibles liquides</t>
  </si>
  <si>
    <t>Combustibles solides</t>
  </si>
  <si>
    <t>Eau chaude et vapeur d'eau</t>
  </si>
  <si>
    <t>Services de télécommunications</t>
  </si>
  <si>
    <t>Services de télévision</t>
  </si>
  <si>
    <t>Cantines</t>
  </si>
  <si>
    <t>Assurances, hors assurance-vie</t>
  </si>
  <si>
    <t>Assurance habitation</t>
  </si>
  <si>
    <t>Assurance santé</t>
  </si>
  <si>
    <t>Assurance automobile</t>
  </si>
  <si>
    <t>Autres assurances</t>
  </si>
  <si>
    <t>Services financiers</t>
  </si>
  <si>
    <t>Services d'intermédiation financière indirectement mesurés (SIFIM)</t>
  </si>
  <si>
    <t>Autres services financiers</t>
  </si>
  <si>
    <t>Dépenses de consommation pré-engagées</t>
  </si>
  <si>
    <t>Dépenses de consommation autres que pré-engagées</t>
  </si>
  <si>
    <t>Dépense de consommation finale des ménages</t>
  </si>
  <si>
    <t>Enerdom</t>
  </si>
  <si>
    <t>Logement hors énergie</t>
  </si>
  <si>
    <t>Services de télécoms</t>
  </si>
  <si>
    <t>Assurances</t>
  </si>
  <si>
    <t>Dépenses contraintes</t>
  </si>
  <si>
    <t>Wenerdom</t>
  </si>
  <si>
    <t>Wlogement</t>
  </si>
  <si>
    <t>Wtelecom</t>
  </si>
  <si>
    <t>Wteleviz</t>
  </si>
  <si>
    <t>Wcantines</t>
  </si>
  <si>
    <t>Wassur</t>
  </si>
  <si>
    <t>Wserfi</t>
  </si>
  <si>
    <t>Revenu disponible brut</t>
  </si>
  <si>
    <t>En %</t>
  </si>
  <si>
    <t>Part des dépenses pré-engagées dans les dépenses de consommation finale des ménages</t>
  </si>
  <si>
    <t>Part des dépenses pré-engagées dans le revenu disponible brut</t>
  </si>
  <si>
    <t>Part des dépenses liées au logement dans le revenu disponible brut</t>
  </si>
  <si>
    <t>Part des assurances (hors assurance-vie) et services financiers dans le revenu disponible brut</t>
  </si>
  <si>
    <t>Part des services de télévision et de télécommunications dans le revenu disponible brut</t>
  </si>
  <si>
    <t>Part des cantines dans le revenu disponible brut</t>
  </si>
  <si>
    <t>Part depcontraintes DEPTOT</t>
  </si>
  <si>
    <t>Part depcontrainte RDB</t>
  </si>
  <si>
    <t>RDB+Loyers imputés</t>
  </si>
  <si>
    <t>Part depcontr RDB+LI</t>
  </si>
  <si>
    <t>Etudier les résultats avec et sans les loyers imputés, ou bien dans le revenu ou la consommation ou bien la consommation contrainte.</t>
  </si>
  <si>
    <t>On voit que cela compte beaucoup et change les résultats.</t>
  </si>
  <si>
    <t>en fait les loyers imputés sont-ils conservateurs ou pas ?</t>
  </si>
  <si>
    <t>Voir leur rôle dans la théorie.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</si>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</sst>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#,##0.000"/>
  </numFmts>
  <fonts count="6" x14ac:knownFonts="1">
    <font>
      <sz val="10"/>
      <color theme="1"/>
      <name val="DejaVu Serif"/>
      <family val="2"/>
    </font>
    <font>
      <sz val="10"/>
      <color theme="1"/>
      <name val="DejaVu Serif"/>
      <family val="1"/>
    </font>
    <font>
      <b/>
      <sz val="10"/>
      <name val="DejaVu Serif"/>
      <family val="1"/>
    </font>
    <font>
      <sz val="10"/>
      <name val="DejaVu Serif"/>
      <family val="1"/>
    </font>
    <font>
      <sz val="9"/>
      <color indexed="81"/>
      <name val="Tahoma"/>
      <family val="2"/>
    </font>
    <font>
      <i/>
      <sz val="10"/>
      <name val="DejaVu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49" fontId="2" fillId="0" borderId="0" xfId="0" quotePrefix="1" applyNumberFormat="1" applyFont="1" applyAlignment="1">
      <alignment horizontal="left" vertical="center" indent="1"/>
    </xf>
    <xf numFmtId="49" fontId="3" fillId="0" borderId="0" xfId="0" quotePrefix="1" applyNumberFormat="1" applyFont="1" applyAlignment="1">
      <alignment horizontal="left" vertical="center" indent="1"/>
    </xf>
    <xf numFmtId="164" fontId="3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6" fontId="3" fillId="0" borderId="0" xfId="0" applyNumberFormat="1" applyFont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633144286891396E-2"/>
          <c:y val="0.13873369407863859"/>
          <c:w val="0.93220093452713559"/>
          <c:h val="0.80449122616826874"/>
        </c:manualLayout>
      </c:layout>
      <c:lineChart>
        <c:grouping val="standard"/>
        <c:varyColors val="0"/>
        <c:ser>
          <c:idx val="0"/>
          <c:order val="0"/>
          <c:tx>
            <c:strRef>
              <c:f>DEPCONTRACPVULN!$J$1</c:f>
              <c:strCache>
                <c:ptCount val="1"/>
                <c:pt idx="0">
                  <c:v>Wenerdom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DEPCONTRACPVULN!$J$2:$J$59</c:f>
              <c:numCache>
                <c:formatCode>0.000</c:formatCode>
                <c:ptCount val="58"/>
                <c:pt idx="0">
                  <c:v>0.26549009355630848</c:v>
                </c:pt>
                <c:pt idx="1">
                  <c:v>0.24943926233622862</c:v>
                </c:pt>
                <c:pt idx="2">
                  <c:v>0.2314481059098753</c:v>
                </c:pt>
                <c:pt idx="3">
                  <c:v>0.22497247604567897</c:v>
                </c:pt>
                <c:pt idx="4">
                  <c:v>0.21930860173113906</c:v>
                </c:pt>
                <c:pt idx="5">
                  <c:v>0.19797393074628633</c:v>
                </c:pt>
                <c:pt idx="6">
                  <c:v>0.18728887327101873</c:v>
                </c:pt>
                <c:pt idx="7">
                  <c:v>0.17464664371332161</c:v>
                </c:pt>
                <c:pt idx="8">
                  <c:v>0.17014131762739595</c:v>
                </c:pt>
                <c:pt idx="9">
                  <c:v>0.16909084178974806</c:v>
                </c:pt>
                <c:pt idx="10">
                  <c:v>0.15856162235109603</c:v>
                </c:pt>
                <c:pt idx="11">
                  <c:v>0.15767803006689154</c:v>
                </c:pt>
                <c:pt idx="12">
                  <c:v>0.16011157964173409</c:v>
                </c:pt>
                <c:pt idx="13">
                  <c:v>0.15892618187037688</c:v>
                </c:pt>
                <c:pt idx="14">
                  <c:v>0.15540570703163517</c:v>
                </c:pt>
                <c:pt idx="15">
                  <c:v>0.16726706279759213</c:v>
                </c:pt>
                <c:pt idx="16">
                  <c:v>0.17481783197055142</c:v>
                </c:pt>
                <c:pt idx="17">
                  <c:v>0.1734850796352809</c:v>
                </c:pt>
                <c:pt idx="18">
                  <c:v>0.17309907515497705</c:v>
                </c:pt>
                <c:pt idx="19">
                  <c:v>0.18047230991196495</c:v>
                </c:pt>
                <c:pt idx="20">
                  <c:v>0.18070889636870169</c:v>
                </c:pt>
                <c:pt idx="21">
                  <c:v>0.20058352058088774</c:v>
                </c:pt>
                <c:pt idx="22">
                  <c:v>0.19363933306582409</c:v>
                </c:pt>
                <c:pt idx="23">
                  <c:v>0.19394696583502175</c:v>
                </c:pt>
                <c:pt idx="24">
                  <c:v>0.19509363883489669</c:v>
                </c:pt>
                <c:pt idx="25">
                  <c:v>0.19499391751909217</c:v>
                </c:pt>
                <c:pt idx="26">
                  <c:v>0.19772162706153079</c:v>
                </c:pt>
                <c:pt idx="27">
                  <c:v>0.17468988212917549</c:v>
                </c:pt>
                <c:pt idx="28">
                  <c:v>0.15575659071194292</c:v>
                </c:pt>
                <c:pt idx="29">
                  <c:v>0.13681098936256822</c:v>
                </c:pt>
                <c:pt idx="30">
                  <c:v>0.12872875933183217</c:v>
                </c:pt>
                <c:pt idx="31">
                  <c:v>0.12911152299711048</c:v>
                </c:pt>
                <c:pt idx="32">
                  <c:v>0.13870888005066045</c:v>
                </c:pt>
                <c:pt idx="33">
                  <c:v>0.13198164402811027</c:v>
                </c:pt>
                <c:pt idx="34">
                  <c:v>0.1293122843719911</c:v>
                </c:pt>
                <c:pt idx="35">
                  <c:v>0.12310613135091392</c:v>
                </c:pt>
                <c:pt idx="36">
                  <c:v>0.12552737138419592</c:v>
                </c:pt>
                <c:pt idx="37">
                  <c:v>0.12997349300621416</c:v>
                </c:pt>
                <c:pt idx="38">
                  <c:v>0.12318315709321856</c:v>
                </c:pt>
                <c:pt idx="39">
                  <c:v>0.12233184211330569</c:v>
                </c:pt>
                <c:pt idx="40">
                  <c:v>0.11828872403283058</c:v>
                </c:pt>
                <c:pt idx="41">
                  <c:v>0.11556340396993647</c:v>
                </c:pt>
                <c:pt idx="42">
                  <c:v>0.11803936313832906</c:v>
                </c:pt>
                <c:pt idx="43">
                  <c:v>0.11101558057852692</c:v>
                </c:pt>
                <c:pt idx="44">
                  <c:v>0.11525594248953766</c:v>
                </c:pt>
                <c:pt idx="45">
                  <c:v>0.11556899995832862</c:v>
                </c:pt>
                <c:pt idx="46">
                  <c:v>0.11667131167040937</c:v>
                </c:pt>
                <c:pt idx="47">
                  <c:v>0.11699635561692744</c:v>
                </c:pt>
                <c:pt idx="48">
                  <c:v>0.10929584646820614</c:v>
                </c:pt>
                <c:pt idx="49">
                  <c:v>0.11865237399119312</c:v>
                </c:pt>
                <c:pt idx="50">
                  <c:v>0.1128362512999507</c:v>
                </c:pt>
                <c:pt idx="51">
                  <c:v>0.12249762108834436</c:v>
                </c:pt>
                <c:pt idx="52">
                  <c:v>0.11952565733029882</c:v>
                </c:pt>
                <c:pt idx="53">
                  <c:v>0.13172098331750937</c:v>
                </c:pt>
                <c:pt idx="54">
                  <c:v>0.13686132013263561</c:v>
                </c:pt>
                <c:pt idx="55">
                  <c:v>0.12334920552130346</c:v>
                </c:pt>
                <c:pt idx="56">
                  <c:v>0.1233385316456231</c:v>
                </c:pt>
                <c:pt idx="57">
                  <c:v>0.12343965761992225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DEPCONTRACPVULN!$K$1</c:f>
              <c:strCache>
                <c:ptCount val="1"/>
                <c:pt idx="0">
                  <c:v>Wlogement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DEPCONTRACPVULN!$K$2:$K$59</c:f>
              <c:numCache>
                <c:formatCode>0.000</c:formatCode>
                <c:ptCount val="58"/>
                <c:pt idx="0">
                  <c:v>0.48604165172705655</c:v>
                </c:pt>
                <c:pt idx="1">
                  <c:v>0.50862531024317459</c:v>
                </c:pt>
                <c:pt idx="2">
                  <c:v>0.53374659395682733</c:v>
                </c:pt>
                <c:pt idx="3">
                  <c:v>0.551814807733229</c:v>
                </c:pt>
                <c:pt idx="4">
                  <c:v>0.55921850445993448</c:v>
                </c:pt>
                <c:pt idx="5">
                  <c:v>0.56846924598104009</c:v>
                </c:pt>
                <c:pt idx="6">
                  <c:v>0.58400988182093749</c:v>
                </c:pt>
                <c:pt idx="7">
                  <c:v>0.60197029920091916</c:v>
                </c:pt>
                <c:pt idx="8">
                  <c:v>0.61297453820355774</c:v>
                </c:pt>
                <c:pt idx="9">
                  <c:v>0.61723778130357554</c:v>
                </c:pt>
                <c:pt idx="10">
                  <c:v>0.61439778239778242</c:v>
                </c:pt>
                <c:pt idx="11">
                  <c:v>0.61575671239743668</c:v>
                </c:pt>
                <c:pt idx="12">
                  <c:v>0.60993765633304386</c:v>
                </c:pt>
                <c:pt idx="13">
                  <c:v>0.61164175841644075</c:v>
                </c:pt>
                <c:pt idx="14">
                  <c:v>0.59013171131163822</c:v>
                </c:pt>
                <c:pt idx="15">
                  <c:v>0.54249807572314912</c:v>
                </c:pt>
                <c:pt idx="16">
                  <c:v>0.55684948828499314</c:v>
                </c:pt>
                <c:pt idx="17">
                  <c:v>0.55339475077274591</c:v>
                </c:pt>
                <c:pt idx="18">
                  <c:v>0.55755920696803063</c:v>
                </c:pt>
                <c:pt idx="19">
                  <c:v>0.54685880981402357</c:v>
                </c:pt>
                <c:pt idx="20">
                  <c:v>0.53678699565222876</c:v>
                </c:pt>
                <c:pt idx="21">
                  <c:v>0.52588922273792282</c:v>
                </c:pt>
                <c:pt idx="22">
                  <c:v>0.5190053069647822</c:v>
                </c:pt>
                <c:pt idx="23">
                  <c:v>0.51025060164535507</c:v>
                </c:pt>
                <c:pt idx="24">
                  <c:v>0.50730866669938623</c:v>
                </c:pt>
                <c:pt idx="25">
                  <c:v>0.50262870473380572</c:v>
                </c:pt>
                <c:pt idx="26">
                  <c:v>0.49564880048104987</c:v>
                </c:pt>
                <c:pt idx="27">
                  <c:v>0.51135954490176183</c:v>
                </c:pt>
                <c:pt idx="28">
                  <c:v>0.52581704842072852</c:v>
                </c:pt>
                <c:pt idx="29">
                  <c:v>0.54324578977724602</c:v>
                </c:pt>
                <c:pt idx="30">
                  <c:v>0.54785737500719178</c:v>
                </c:pt>
                <c:pt idx="31">
                  <c:v>0.55170191653936795</c:v>
                </c:pt>
                <c:pt idx="32">
                  <c:v>0.56488533244090944</c:v>
                </c:pt>
                <c:pt idx="33">
                  <c:v>0.57579060555558836</c:v>
                </c:pt>
                <c:pt idx="34">
                  <c:v>0.59131346986919697</c:v>
                </c:pt>
                <c:pt idx="35">
                  <c:v>0.61331937023309013</c:v>
                </c:pt>
                <c:pt idx="36">
                  <c:v>0.63193136953027451</c:v>
                </c:pt>
                <c:pt idx="37">
                  <c:v>0.62592296292434846</c:v>
                </c:pt>
                <c:pt idx="38">
                  <c:v>0.6395999046635199</c:v>
                </c:pt>
                <c:pt idx="39">
                  <c:v>0.64439267522205768</c:v>
                </c:pt>
                <c:pt idx="40">
                  <c:v>0.65929612480053723</c:v>
                </c:pt>
                <c:pt idx="41">
                  <c:v>0.63439287227813701</c:v>
                </c:pt>
                <c:pt idx="42">
                  <c:v>0.61889246261818176</c:v>
                </c:pt>
                <c:pt idx="43">
                  <c:v>0.63316147084506447</c:v>
                </c:pt>
                <c:pt idx="44">
                  <c:v>0.63298047128777613</c:v>
                </c:pt>
                <c:pt idx="45">
                  <c:v>0.63139794592893139</c:v>
                </c:pt>
                <c:pt idx="46">
                  <c:v>0.6331944635496991</c:v>
                </c:pt>
                <c:pt idx="47">
                  <c:v>0.6310690699963043</c:v>
                </c:pt>
                <c:pt idx="48">
                  <c:v>0.62676362186548884</c:v>
                </c:pt>
                <c:pt idx="49">
                  <c:v>0.6138433165228846</c:v>
                </c:pt>
                <c:pt idx="50">
                  <c:v>0.63294707690886076</c:v>
                </c:pt>
                <c:pt idx="51">
                  <c:v>0.63462131030300262</c:v>
                </c:pt>
                <c:pt idx="52">
                  <c:v>0.64164198097007352</c:v>
                </c:pt>
                <c:pt idx="53">
                  <c:v>0.64277612334175493</c:v>
                </c:pt>
                <c:pt idx="54">
                  <c:v>0.64297973872557579</c:v>
                </c:pt>
                <c:pt idx="55">
                  <c:v>0.65674293683407037</c:v>
                </c:pt>
                <c:pt idx="56">
                  <c:v>0.65557122437619597</c:v>
                </c:pt>
                <c:pt idx="57">
                  <c:v>0.65527751335341933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DEPCONTRACPVULN!$L$1</c:f>
              <c:strCache>
                <c:ptCount val="1"/>
                <c:pt idx="0">
                  <c:v>Wtelecom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DEPCONTRACPVULN!$L$2:$L$59</c:f>
              <c:numCache>
                <c:formatCode>0.000</c:formatCode>
                <c:ptCount val="58"/>
                <c:pt idx="0">
                  <c:v>2.777497022900375E-2</c:v>
                </c:pt>
                <c:pt idx="1">
                  <c:v>2.6828659769485071E-2</c:v>
                </c:pt>
                <c:pt idx="2">
                  <c:v>2.6162069660832156E-2</c:v>
                </c:pt>
                <c:pt idx="3">
                  <c:v>2.4845187394183114E-2</c:v>
                </c:pt>
                <c:pt idx="4">
                  <c:v>2.2960515213796474E-2</c:v>
                </c:pt>
                <c:pt idx="5">
                  <c:v>2.269764624541442E-2</c:v>
                </c:pt>
                <c:pt idx="6">
                  <c:v>2.3509421935794635E-2</c:v>
                </c:pt>
                <c:pt idx="7">
                  <c:v>2.2096562292313295E-2</c:v>
                </c:pt>
                <c:pt idx="8">
                  <c:v>2.1352748086397134E-2</c:v>
                </c:pt>
                <c:pt idx="9">
                  <c:v>1.9879580445196866E-2</c:v>
                </c:pt>
                <c:pt idx="10">
                  <c:v>2.1852792063318381E-2</c:v>
                </c:pt>
                <c:pt idx="11">
                  <c:v>2.163995064262424E-2</c:v>
                </c:pt>
                <c:pt idx="12">
                  <c:v>2.173261274181126E-2</c:v>
                </c:pt>
                <c:pt idx="13">
                  <c:v>2.2120539092088606E-2</c:v>
                </c:pt>
                <c:pt idx="14">
                  <c:v>2.3349606030450273E-2</c:v>
                </c:pt>
                <c:pt idx="15">
                  <c:v>2.4666310634661487E-2</c:v>
                </c:pt>
                <c:pt idx="16">
                  <c:v>3.3017799698549427E-2</c:v>
                </c:pt>
                <c:pt idx="17">
                  <c:v>4.0350335178050867E-2</c:v>
                </c:pt>
                <c:pt idx="18">
                  <c:v>4.6192545930216912E-2</c:v>
                </c:pt>
                <c:pt idx="19">
                  <c:v>5.0274049206150577E-2</c:v>
                </c:pt>
                <c:pt idx="20">
                  <c:v>5.5772715235334072E-2</c:v>
                </c:pt>
                <c:pt idx="21">
                  <c:v>5.5817274555048618E-2</c:v>
                </c:pt>
                <c:pt idx="22">
                  <c:v>5.5809625955401801E-2</c:v>
                </c:pt>
                <c:pt idx="23">
                  <c:v>5.5926288114106826E-2</c:v>
                </c:pt>
                <c:pt idx="24">
                  <c:v>5.5537765209450474E-2</c:v>
                </c:pt>
                <c:pt idx="25">
                  <c:v>5.8162062673370755E-2</c:v>
                </c:pt>
                <c:pt idx="26">
                  <c:v>5.9319799716209654E-2</c:v>
                </c:pt>
                <c:pt idx="27">
                  <c:v>5.8518686034310007E-2</c:v>
                </c:pt>
                <c:pt idx="28">
                  <c:v>5.9998646035140046E-2</c:v>
                </c:pt>
                <c:pt idx="29">
                  <c:v>5.7340185526869918E-2</c:v>
                </c:pt>
                <c:pt idx="30">
                  <c:v>5.5369635388716011E-2</c:v>
                </c:pt>
                <c:pt idx="31">
                  <c:v>5.5285750913774342E-2</c:v>
                </c:pt>
                <c:pt idx="32">
                  <c:v>5.535153723955067E-2</c:v>
                </c:pt>
                <c:pt idx="33">
                  <c:v>5.4450465725190057E-2</c:v>
                </c:pt>
                <c:pt idx="34">
                  <c:v>5.4920057725913782E-2</c:v>
                </c:pt>
                <c:pt idx="35">
                  <c:v>5.6677680282604323E-2</c:v>
                </c:pt>
                <c:pt idx="36">
                  <c:v>5.7529010519724408E-2</c:v>
                </c:pt>
                <c:pt idx="37">
                  <c:v>5.6540594857423569E-2</c:v>
                </c:pt>
                <c:pt idx="38">
                  <c:v>5.6924409044397412E-2</c:v>
                </c:pt>
                <c:pt idx="39">
                  <c:v>5.8833661083158073E-2</c:v>
                </c:pt>
                <c:pt idx="40">
                  <c:v>6.556805338569334E-2</c:v>
                </c:pt>
                <c:pt idx="41">
                  <c:v>7.1394059667145446E-2</c:v>
                </c:pt>
                <c:pt idx="42">
                  <c:v>7.6865080666272262E-2</c:v>
                </c:pt>
                <c:pt idx="43">
                  <c:v>8.5318183086337276E-2</c:v>
                </c:pt>
                <c:pt idx="44">
                  <c:v>8.7143331996738113E-2</c:v>
                </c:pt>
                <c:pt idx="45">
                  <c:v>8.7121433615343913E-2</c:v>
                </c:pt>
                <c:pt idx="46">
                  <c:v>8.7748884374588221E-2</c:v>
                </c:pt>
                <c:pt idx="47">
                  <c:v>8.3329327477380075E-2</c:v>
                </c:pt>
                <c:pt idx="48">
                  <c:v>8.2662400480526518E-2</c:v>
                </c:pt>
                <c:pt idx="49">
                  <c:v>8.27778441627295E-2</c:v>
                </c:pt>
                <c:pt idx="50">
                  <c:v>8.4442019718687755E-2</c:v>
                </c:pt>
                <c:pt idx="51">
                  <c:v>8.3386200620257589E-2</c:v>
                </c:pt>
                <c:pt idx="52">
                  <c:v>7.9636136917776573E-2</c:v>
                </c:pt>
                <c:pt idx="53">
                  <c:v>7.0621610483642752E-2</c:v>
                </c:pt>
                <c:pt idx="54">
                  <c:v>6.4331724810548913E-2</c:v>
                </c:pt>
                <c:pt idx="55">
                  <c:v>6.2252522128419134E-2</c:v>
                </c:pt>
                <c:pt idx="56">
                  <c:v>6.0102198992929907E-2</c:v>
                </c:pt>
                <c:pt idx="57">
                  <c:v>5.9935652434546238E-2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DEPCONTRACPVULN!$M$1</c:f>
              <c:strCache>
                <c:ptCount val="1"/>
                <c:pt idx="0">
                  <c:v>Wteleviz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DEPCONTRACPVULN!$M$2:$M$59</c:f>
              <c:numCache>
                <c:formatCode>0.000</c:formatCode>
                <c:ptCount val="58"/>
                <c:pt idx="0">
                  <c:v>9.6811496658138606E-3</c:v>
                </c:pt>
                <c:pt idx="1">
                  <c:v>1.0971758621310331E-2</c:v>
                </c:pt>
                <c:pt idx="2">
                  <c:v>1.2074389588883674E-2</c:v>
                </c:pt>
                <c:pt idx="3">
                  <c:v>1.2678366017707851E-2</c:v>
                </c:pt>
                <c:pt idx="4">
                  <c:v>1.1790096894749084E-2</c:v>
                </c:pt>
                <c:pt idx="5">
                  <c:v>1.1702064249171487E-2</c:v>
                </c:pt>
                <c:pt idx="6">
                  <c:v>1.1516074179577361E-2</c:v>
                </c:pt>
                <c:pt idx="7">
                  <c:v>1.1092649426983073E-2</c:v>
                </c:pt>
                <c:pt idx="8">
                  <c:v>1.1128458884068123E-2</c:v>
                </c:pt>
                <c:pt idx="9">
                  <c:v>9.7528350574414627E-3</c:v>
                </c:pt>
                <c:pt idx="10">
                  <c:v>8.9673560199875994E-3</c:v>
                </c:pt>
                <c:pt idx="11">
                  <c:v>8.6291475178530922E-3</c:v>
                </c:pt>
                <c:pt idx="12">
                  <c:v>9.4138715440482846E-3</c:v>
                </c:pt>
                <c:pt idx="13">
                  <c:v>8.8136767158016119E-3</c:v>
                </c:pt>
                <c:pt idx="14">
                  <c:v>8.2062530856873012E-3</c:v>
                </c:pt>
                <c:pt idx="15">
                  <c:v>7.7291575347357786E-3</c:v>
                </c:pt>
                <c:pt idx="16">
                  <c:v>7.78899774730749E-3</c:v>
                </c:pt>
                <c:pt idx="17">
                  <c:v>7.4817882179604557E-3</c:v>
                </c:pt>
                <c:pt idx="18">
                  <c:v>7.1600233964499082E-3</c:v>
                </c:pt>
                <c:pt idx="19">
                  <c:v>7.0666808612501707E-3</c:v>
                </c:pt>
                <c:pt idx="20">
                  <c:v>7.2400845747362403E-3</c:v>
                </c:pt>
                <c:pt idx="21">
                  <c:v>7.0005922946378392E-3</c:v>
                </c:pt>
                <c:pt idx="22">
                  <c:v>6.5801155231094222E-3</c:v>
                </c:pt>
                <c:pt idx="23">
                  <c:v>6.8522263237487287E-3</c:v>
                </c:pt>
                <c:pt idx="24">
                  <c:v>6.6173717006113107E-3</c:v>
                </c:pt>
                <c:pt idx="25">
                  <c:v>6.3997383005670802E-3</c:v>
                </c:pt>
                <c:pt idx="26">
                  <c:v>7.0254567633267545E-3</c:v>
                </c:pt>
                <c:pt idx="27">
                  <c:v>7.9450769419058178E-3</c:v>
                </c:pt>
                <c:pt idx="28">
                  <c:v>8.4247285622490575E-3</c:v>
                </c:pt>
                <c:pt idx="29">
                  <c:v>8.6106883621662762E-3</c:v>
                </c:pt>
                <c:pt idx="30">
                  <c:v>8.6398633196901765E-3</c:v>
                </c:pt>
                <c:pt idx="31">
                  <c:v>8.9255171437201426E-3</c:v>
                </c:pt>
                <c:pt idx="32">
                  <c:v>9.2816337454837087E-3</c:v>
                </c:pt>
                <c:pt idx="33">
                  <c:v>9.8607937800185442E-3</c:v>
                </c:pt>
                <c:pt idx="34">
                  <c:v>1.0177295940175321E-2</c:v>
                </c:pt>
                <c:pt idx="35">
                  <c:v>1.0719682065224313E-2</c:v>
                </c:pt>
                <c:pt idx="36">
                  <c:v>1.1596571163781339E-2</c:v>
                </c:pt>
                <c:pt idx="37">
                  <c:v>1.1964274106476764E-2</c:v>
                </c:pt>
                <c:pt idx="38">
                  <c:v>1.2784215909703482E-2</c:v>
                </c:pt>
                <c:pt idx="39">
                  <c:v>1.3706641031981309E-2</c:v>
                </c:pt>
                <c:pt idx="40">
                  <c:v>1.5028965344117306E-2</c:v>
                </c:pt>
                <c:pt idx="41">
                  <c:v>1.5148379722093536E-2</c:v>
                </c:pt>
                <c:pt idx="42">
                  <c:v>1.5949181482201185E-2</c:v>
                </c:pt>
                <c:pt idx="43">
                  <c:v>1.6134925907515332E-2</c:v>
                </c:pt>
                <c:pt idx="44">
                  <c:v>1.6531886743242446E-2</c:v>
                </c:pt>
                <c:pt idx="45">
                  <c:v>1.6175094264569291E-2</c:v>
                </c:pt>
                <c:pt idx="46">
                  <c:v>1.6612393056647343E-2</c:v>
                </c:pt>
                <c:pt idx="47">
                  <c:v>1.6357256261976556E-2</c:v>
                </c:pt>
                <c:pt idx="48">
                  <c:v>1.6119978303261426E-2</c:v>
                </c:pt>
                <c:pt idx="49">
                  <c:v>1.5897477248607714E-2</c:v>
                </c:pt>
                <c:pt idx="50">
                  <c:v>1.5659020064681714E-2</c:v>
                </c:pt>
                <c:pt idx="51">
                  <c:v>1.5553811940967112E-2</c:v>
                </c:pt>
                <c:pt idx="52">
                  <c:v>1.5444001660390809E-2</c:v>
                </c:pt>
                <c:pt idx="53">
                  <c:v>1.5381680344123632E-2</c:v>
                </c:pt>
                <c:pt idx="54">
                  <c:v>1.5540087590523607E-2</c:v>
                </c:pt>
                <c:pt idx="55">
                  <c:v>1.6324089476472427E-2</c:v>
                </c:pt>
                <c:pt idx="56">
                  <c:v>1.6375371718696539E-2</c:v>
                </c:pt>
                <c:pt idx="57">
                  <c:v>1.7046881592074601E-2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DEPCONTRACPVULN!$N$1</c:f>
              <c:strCache>
                <c:ptCount val="1"/>
                <c:pt idx="0">
                  <c:v>Wcantines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DEPCONTRACPVULN!$N$2:$N$59</c:f>
              <c:numCache>
                <c:formatCode>0.000</c:formatCode>
                <c:ptCount val="58"/>
                <c:pt idx="0">
                  <c:v>6.1110863293956749E-2</c:v>
                </c:pt>
                <c:pt idx="1">
                  <c:v>5.7712230330932729E-2</c:v>
                </c:pt>
                <c:pt idx="2">
                  <c:v>5.7620792967892645E-2</c:v>
                </c:pt>
                <c:pt idx="3">
                  <c:v>5.4522293632020921E-2</c:v>
                </c:pt>
                <c:pt idx="4">
                  <c:v>5.2556141389503999E-2</c:v>
                </c:pt>
                <c:pt idx="5">
                  <c:v>5.3499481634756582E-2</c:v>
                </c:pt>
                <c:pt idx="6">
                  <c:v>5.1597581813878357E-2</c:v>
                </c:pt>
                <c:pt idx="7">
                  <c:v>5.0349542120500315E-2</c:v>
                </c:pt>
                <c:pt idx="8">
                  <c:v>4.6886463687664436E-2</c:v>
                </c:pt>
                <c:pt idx="9">
                  <c:v>4.3018806912635592E-2</c:v>
                </c:pt>
                <c:pt idx="10">
                  <c:v>4.1186563081299921E-2</c:v>
                </c:pt>
                <c:pt idx="11">
                  <c:v>3.9253516783500343E-2</c:v>
                </c:pt>
                <c:pt idx="12">
                  <c:v>3.9847963956858863E-2</c:v>
                </c:pt>
                <c:pt idx="13">
                  <c:v>4.1184742385513083E-2</c:v>
                </c:pt>
                <c:pt idx="14">
                  <c:v>3.9210182974434377E-2</c:v>
                </c:pt>
                <c:pt idx="15">
                  <c:v>3.81827647879271E-2</c:v>
                </c:pt>
                <c:pt idx="16">
                  <c:v>4.0187561724598336E-2</c:v>
                </c:pt>
                <c:pt idx="17">
                  <c:v>3.8604798293423039E-2</c:v>
                </c:pt>
                <c:pt idx="18">
                  <c:v>3.8224439500843109E-2</c:v>
                </c:pt>
                <c:pt idx="19">
                  <c:v>3.7039312933829158E-2</c:v>
                </c:pt>
                <c:pt idx="20">
                  <c:v>3.369845886202346E-2</c:v>
                </c:pt>
                <c:pt idx="21">
                  <c:v>3.263126427291628E-2</c:v>
                </c:pt>
                <c:pt idx="22">
                  <c:v>3.1345809229027306E-2</c:v>
                </c:pt>
                <c:pt idx="23">
                  <c:v>3.0942872819941458E-2</c:v>
                </c:pt>
                <c:pt idx="24">
                  <c:v>3.0702480357353009E-2</c:v>
                </c:pt>
                <c:pt idx="25">
                  <c:v>2.9095679148336745E-2</c:v>
                </c:pt>
                <c:pt idx="26">
                  <c:v>2.8066524916182091E-2</c:v>
                </c:pt>
                <c:pt idx="27">
                  <c:v>2.8197555629726798E-2</c:v>
                </c:pt>
                <c:pt idx="28">
                  <c:v>2.8390468314370778E-2</c:v>
                </c:pt>
                <c:pt idx="29">
                  <c:v>2.8900905659909278E-2</c:v>
                </c:pt>
                <c:pt idx="30">
                  <c:v>2.6797683118907002E-2</c:v>
                </c:pt>
                <c:pt idx="31">
                  <c:v>2.7517652206818784E-2</c:v>
                </c:pt>
                <c:pt idx="32">
                  <c:v>2.7416072601621648E-2</c:v>
                </c:pt>
                <c:pt idx="33">
                  <c:v>2.6734843134270353E-2</c:v>
                </c:pt>
                <c:pt idx="34">
                  <c:v>2.6546725708523386E-2</c:v>
                </c:pt>
                <c:pt idx="35">
                  <c:v>2.641917287637887E-2</c:v>
                </c:pt>
                <c:pt idx="36">
                  <c:v>2.5400801079363027E-2</c:v>
                </c:pt>
                <c:pt idx="37">
                  <c:v>2.6468944867476054E-2</c:v>
                </c:pt>
                <c:pt idx="38">
                  <c:v>2.7255121298261083E-2</c:v>
                </c:pt>
                <c:pt idx="39">
                  <c:v>2.7278811098855611E-2</c:v>
                </c:pt>
                <c:pt idx="40">
                  <c:v>2.8498697452754011E-2</c:v>
                </c:pt>
                <c:pt idx="41">
                  <c:v>2.7284350204350796E-2</c:v>
                </c:pt>
                <c:pt idx="42">
                  <c:v>2.7086474580071684E-2</c:v>
                </c:pt>
                <c:pt idx="43">
                  <c:v>2.838899423434851E-2</c:v>
                </c:pt>
                <c:pt idx="44">
                  <c:v>2.7693054348238964E-2</c:v>
                </c:pt>
                <c:pt idx="45">
                  <c:v>2.7354765412741931E-2</c:v>
                </c:pt>
                <c:pt idx="46">
                  <c:v>2.6912769571036558E-2</c:v>
                </c:pt>
                <c:pt idx="47">
                  <c:v>2.6463446543128395E-2</c:v>
                </c:pt>
                <c:pt idx="48">
                  <c:v>2.6523624813435648E-2</c:v>
                </c:pt>
                <c:pt idx="49">
                  <c:v>2.6535415139476916E-2</c:v>
                </c:pt>
                <c:pt idx="50">
                  <c:v>2.7251366035032566E-2</c:v>
                </c:pt>
                <c:pt idx="51">
                  <c:v>2.7613967953629699E-2</c:v>
                </c:pt>
                <c:pt idx="52">
                  <c:v>2.8319947111128323E-2</c:v>
                </c:pt>
                <c:pt idx="53">
                  <c:v>2.8728982214482453E-2</c:v>
                </c:pt>
                <c:pt idx="54">
                  <c:v>2.9477080587185879E-2</c:v>
                </c:pt>
                <c:pt idx="55">
                  <c:v>3.0259679112788651E-2</c:v>
                </c:pt>
                <c:pt idx="56">
                  <c:v>2.9675059817928139E-2</c:v>
                </c:pt>
                <c:pt idx="57">
                  <c:v>3.0020511813079038E-2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DEPCONTRACPVULN!$O$1</c:f>
              <c:strCache>
                <c:ptCount val="1"/>
                <c:pt idx="0">
                  <c:v>Wassur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DEPCONTRACPVULN!$O$2:$O$59</c:f>
              <c:numCache>
                <c:formatCode>0.000</c:formatCode>
                <c:ptCount val="58"/>
                <c:pt idx="0">
                  <c:v>5.9443461645527225E-2</c:v>
                </c:pt>
                <c:pt idx="1">
                  <c:v>6.2787368677889088E-2</c:v>
                </c:pt>
                <c:pt idx="2">
                  <c:v>5.872424388964332E-2</c:v>
                </c:pt>
                <c:pt idx="3">
                  <c:v>5.7129937735726867E-2</c:v>
                </c:pt>
                <c:pt idx="4">
                  <c:v>5.9576546426217417E-2</c:v>
                </c:pt>
                <c:pt idx="5">
                  <c:v>6.6007761638980242E-2</c:v>
                </c:pt>
                <c:pt idx="6">
                  <c:v>6.94965088177526E-2</c:v>
                </c:pt>
                <c:pt idx="7">
                  <c:v>6.9348549684307509E-2</c:v>
                </c:pt>
                <c:pt idx="8">
                  <c:v>6.8116094220334947E-2</c:v>
                </c:pt>
                <c:pt idx="9">
                  <c:v>6.5031675434309558E-2</c:v>
                </c:pt>
                <c:pt idx="10">
                  <c:v>6.3876135244556292E-2</c:v>
                </c:pt>
                <c:pt idx="11">
                  <c:v>6.0877385722355855E-2</c:v>
                </c:pt>
                <c:pt idx="12">
                  <c:v>6.1842253113503165E-2</c:v>
                </c:pt>
                <c:pt idx="13">
                  <c:v>6.4345804907263243E-2</c:v>
                </c:pt>
                <c:pt idx="14">
                  <c:v>6.5538644852667555E-2</c:v>
                </c:pt>
                <c:pt idx="15">
                  <c:v>6.0866354214139107E-2</c:v>
                </c:pt>
                <c:pt idx="16">
                  <c:v>6.4018810859733752E-2</c:v>
                </c:pt>
                <c:pt idx="17">
                  <c:v>6.2489831925016205E-2</c:v>
                </c:pt>
                <c:pt idx="18">
                  <c:v>6.326916440900715E-2</c:v>
                </c:pt>
                <c:pt idx="19">
                  <c:v>6.35324525939681E-2</c:v>
                </c:pt>
                <c:pt idx="20">
                  <c:v>6.226707994392347E-2</c:v>
                </c:pt>
                <c:pt idx="21">
                  <c:v>6.3617484454669929E-2</c:v>
                </c:pt>
                <c:pt idx="22">
                  <c:v>5.9895494871265734E-2</c:v>
                </c:pt>
                <c:pt idx="23">
                  <c:v>6.0987830194325028E-2</c:v>
                </c:pt>
                <c:pt idx="24">
                  <c:v>6.059393306355626E-2</c:v>
                </c:pt>
                <c:pt idx="25">
                  <c:v>6.2953531397372905E-2</c:v>
                </c:pt>
                <c:pt idx="26">
                  <c:v>6.2408172417121467E-2</c:v>
                </c:pt>
                <c:pt idx="27">
                  <c:v>6.42714244982098E-2</c:v>
                </c:pt>
                <c:pt idx="28">
                  <c:v>6.4897710536783212E-2</c:v>
                </c:pt>
                <c:pt idx="29">
                  <c:v>6.4831773588413508E-2</c:v>
                </c:pt>
                <c:pt idx="30">
                  <c:v>6.3027902455943183E-2</c:v>
                </c:pt>
                <c:pt idx="31">
                  <c:v>6.2781840215781134E-2</c:v>
                </c:pt>
                <c:pt idx="32">
                  <c:v>6.0572193323797527E-2</c:v>
                </c:pt>
                <c:pt idx="33">
                  <c:v>6.0436270272218692E-2</c:v>
                </c:pt>
                <c:pt idx="34">
                  <c:v>6.0338136414230331E-2</c:v>
                </c:pt>
                <c:pt idx="35">
                  <c:v>6.0661790435532867E-2</c:v>
                </c:pt>
                <c:pt idx="36">
                  <c:v>5.7455618798091711E-2</c:v>
                </c:pt>
                <c:pt idx="37">
                  <c:v>5.8359175666968403E-2</c:v>
                </c:pt>
                <c:pt idx="38">
                  <c:v>6.0993385084250756E-2</c:v>
                </c:pt>
                <c:pt idx="39">
                  <c:v>6.2549007165302054E-2</c:v>
                </c:pt>
                <c:pt idx="40">
                  <c:v>6.6572146641018126E-2</c:v>
                </c:pt>
                <c:pt idx="41">
                  <c:v>6.4823861511068948E-2</c:v>
                </c:pt>
                <c:pt idx="42">
                  <c:v>6.1750175168923345E-2</c:v>
                </c:pt>
                <c:pt idx="43">
                  <c:v>6.0770379653816063E-2</c:v>
                </c:pt>
                <c:pt idx="44">
                  <c:v>6.3457483514908986E-2</c:v>
                </c:pt>
                <c:pt idx="45">
                  <c:v>6.5911599218983416E-2</c:v>
                </c:pt>
                <c:pt idx="46">
                  <c:v>6.7787546880349936E-2</c:v>
                </c:pt>
                <c:pt idx="47">
                  <c:v>6.9378725628867363E-2</c:v>
                </c:pt>
                <c:pt idx="48">
                  <c:v>6.9133367641978402E-2</c:v>
                </c:pt>
                <c:pt idx="49">
                  <c:v>6.7629264217453869E-2</c:v>
                </c:pt>
                <c:pt idx="50">
                  <c:v>7.2886726364062931E-2</c:v>
                </c:pt>
                <c:pt idx="51">
                  <c:v>7.4160365078092788E-2</c:v>
                </c:pt>
                <c:pt idx="52">
                  <c:v>7.2462855532946097E-2</c:v>
                </c:pt>
                <c:pt idx="53">
                  <c:v>7.4196137120517577E-2</c:v>
                </c:pt>
                <c:pt idx="54">
                  <c:v>7.7209548586296528E-2</c:v>
                </c:pt>
                <c:pt idx="55">
                  <c:v>7.8269118033604465E-2</c:v>
                </c:pt>
                <c:pt idx="56">
                  <c:v>7.8762717726463594E-2</c:v>
                </c:pt>
                <c:pt idx="57">
                  <c:v>8.1333763992856078E-2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DEPCONTRACPVULN!$P$1</c:f>
              <c:strCache>
                <c:ptCount val="1"/>
                <c:pt idx="0">
                  <c:v>Wserfi</c:v>
                </c:pt>
              </c:strCache>
            </c:strRef>
          </c:tx>
          <c:marker>
            <c:symbol val="none"/>
          </c:marker>
          <c:cat>
            <c:numRef>
              <c:f>DEPCONTRACPVULN!$A$2:$A$59</c:f>
              <c:numCache>
                <c:formatCode>0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cat>
          <c:val>
            <c:numRef>
              <c:f>DEPCONTRACPVULN!$P$2:$P$59</c:f>
              <c:numCache>
                <c:formatCode>0.000</c:formatCode>
                <c:ptCount val="58"/>
                <c:pt idx="0">
                  <c:v>9.0457809882333262E-2</c:v>
                </c:pt>
                <c:pt idx="1">
                  <c:v>8.3635410020979545E-2</c:v>
                </c:pt>
                <c:pt idx="2">
                  <c:v>8.0223804026045648E-2</c:v>
                </c:pt>
                <c:pt idx="3">
                  <c:v>7.4036931441453402E-2</c:v>
                </c:pt>
                <c:pt idx="4">
                  <c:v>7.4589593884659591E-2</c:v>
                </c:pt>
                <c:pt idx="5">
                  <c:v>7.9649869504350851E-2</c:v>
                </c:pt>
                <c:pt idx="6">
                  <c:v>7.2581658161040771E-2</c:v>
                </c:pt>
                <c:pt idx="7">
                  <c:v>7.049575356165505E-2</c:v>
                </c:pt>
                <c:pt idx="8">
                  <c:v>6.9400379290581349E-2</c:v>
                </c:pt>
                <c:pt idx="9">
                  <c:v>7.5988479057092967E-2</c:v>
                </c:pt>
                <c:pt idx="10">
                  <c:v>9.115774884195936E-2</c:v>
                </c:pt>
                <c:pt idx="11">
                  <c:v>9.6165256869338203E-2</c:v>
                </c:pt>
                <c:pt idx="12">
                  <c:v>9.7114062669000537E-2</c:v>
                </c:pt>
                <c:pt idx="13">
                  <c:v>9.296729661251589E-2</c:v>
                </c:pt>
                <c:pt idx="14">
                  <c:v>0.11815789471348713</c:v>
                </c:pt>
                <c:pt idx="15">
                  <c:v>0.15879027430779508</c:v>
                </c:pt>
                <c:pt idx="16">
                  <c:v>0.12331950971426649</c:v>
                </c:pt>
                <c:pt idx="17">
                  <c:v>0.12419341597752258</c:v>
                </c:pt>
                <c:pt idx="18">
                  <c:v>0.11449554464047537</c:v>
                </c:pt>
                <c:pt idx="19">
                  <c:v>0.11475638467881347</c:v>
                </c:pt>
                <c:pt idx="20">
                  <c:v>0.12352576936305219</c:v>
                </c:pt>
                <c:pt idx="21">
                  <c:v>0.11446064110391679</c:v>
                </c:pt>
                <c:pt idx="22">
                  <c:v>0.13372431439058943</c:v>
                </c:pt>
                <c:pt idx="23">
                  <c:v>0.14109321506750117</c:v>
                </c:pt>
                <c:pt idx="24">
                  <c:v>0.14414614413474619</c:v>
                </c:pt>
                <c:pt idx="25">
                  <c:v>0.14576636622745459</c:v>
                </c:pt>
                <c:pt idx="26">
                  <c:v>0.14980961864457948</c:v>
                </c:pt>
                <c:pt idx="27">
                  <c:v>0.15501782986491036</c:v>
                </c:pt>
                <c:pt idx="28">
                  <c:v>0.15671480741878543</c:v>
                </c:pt>
                <c:pt idx="29">
                  <c:v>0.16025966772282677</c:v>
                </c:pt>
                <c:pt idx="30">
                  <c:v>0.16957878137771965</c:v>
                </c:pt>
                <c:pt idx="31">
                  <c:v>0.16467579998342702</c:v>
                </c:pt>
                <c:pt idx="32">
                  <c:v>0.14378435059797667</c:v>
                </c:pt>
                <c:pt idx="33">
                  <c:v>0.14074537750460378</c:v>
                </c:pt>
                <c:pt idx="34">
                  <c:v>0.12739202996996904</c:v>
                </c:pt>
                <c:pt idx="35">
                  <c:v>0.10909617275625552</c:v>
                </c:pt>
                <c:pt idx="36">
                  <c:v>9.0559257524569212E-2</c:v>
                </c:pt>
                <c:pt idx="37">
                  <c:v>9.0770554571092732E-2</c:v>
                </c:pt>
                <c:pt idx="38">
                  <c:v>7.9259806906648869E-2</c:v>
                </c:pt>
                <c:pt idx="39">
                  <c:v>7.0907362285339615E-2</c:v>
                </c:pt>
                <c:pt idx="40">
                  <c:v>4.674728834304924E-2</c:v>
                </c:pt>
                <c:pt idx="41">
                  <c:v>7.1393072647267755E-2</c:v>
                </c:pt>
                <c:pt idx="42">
                  <c:v>8.141726234602073E-2</c:v>
                </c:pt>
                <c:pt idx="43">
                  <c:v>6.5210465694391345E-2</c:v>
                </c:pt>
                <c:pt idx="44">
                  <c:v>5.6937829619557581E-2</c:v>
                </c:pt>
                <c:pt idx="45">
                  <c:v>5.647016160110143E-2</c:v>
                </c:pt>
                <c:pt idx="46">
                  <c:v>5.1072630897269551E-2</c:v>
                </c:pt>
                <c:pt idx="47">
                  <c:v>5.6405818475415759E-2</c:v>
                </c:pt>
                <c:pt idx="48">
                  <c:v>6.9501160427102929E-2</c:v>
                </c:pt>
                <c:pt idx="49">
                  <c:v>7.4664308717654254E-2</c:v>
                </c:pt>
                <c:pt idx="50">
                  <c:v>5.3977539608723597E-2</c:v>
                </c:pt>
                <c:pt idx="51">
                  <c:v>4.2166723015705815E-2</c:v>
                </c:pt>
                <c:pt idx="52">
                  <c:v>4.2969420477385882E-2</c:v>
                </c:pt>
                <c:pt idx="53">
                  <c:v>3.6574483177969241E-2</c:v>
                </c:pt>
                <c:pt idx="54">
                  <c:v>3.3600499567233627E-2</c:v>
                </c:pt>
                <c:pt idx="55">
                  <c:v>3.2802448893341558E-2</c:v>
                </c:pt>
                <c:pt idx="56">
                  <c:v>3.6174895722162828E-2</c:v>
                </c:pt>
                <c:pt idx="57">
                  <c:v>3.294601919410247E-2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63744"/>
        <c:axId val="184465280"/>
      </c:lineChart>
      <c:catAx>
        <c:axId val="1844637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4465280"/>
        <c:crosses val="autoZero"/>
        <c:auto val="1"/>
        <c:lblAlgn val="ctr"/>
        <c:lblOffset val="100"/>
        <c:noMultiLvlLbl val="0"/>
      </c:catAx>
      <c:valAx>
        <c:axId val="18446528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8446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198715735511764"/>
          <c:y val="1.2477244092718507E-2"/>
          <c:w val="0.2825455058922392"/>
          <c:h val="8.3069968548262346E-2"/>
        </c:manualLayout>
      </c:layout>
      <c:overlay val="0"/>
      <c:spPr>
        <a:noFill/>
      </c:sp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544" cy="6051176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baseColWidth="10" defaultRowHeight="12.75" x14ac:dyDescent="0.2"/>
  <sheetData>
    <row r="1" spans="1:1" x14ac:dyDescent="0.2">
      <c r="A1" t="s">
        <v>80</v>
      </c>
    </row>
    <row r="2" spans="1:1" x14ac:dyDescent="0.2">
      <c r="A2" t="s">
        <v>81</v>
      </c>
    </row>
    <row r="3" spans="1:1" x14ac:dyDescent="0.2">
      <c r="A3" t="s">
        <v>82</v>
      </c>
    </row>
    <row r="4" spans="1:1" x14ac:dyDescent="0.2">
      <c r="A4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workbookViewId="0">
      <pane xSplit="1" ySplit="2" topLeftCell="O39" activePane="bottomRight" state="frozen"/>
      <selection pane="topRight" activeCell="B1" sqref="B1"/>
      <selection pane="bottomLeft" activeCell="A3" sqref="A3"/>
      <selection pane="bottomRight" activeCell="D3" sqref="D3:D60"/>
    </sheetView>
  </sheetViews>
  <sheetFormatPr baseColWidth="10" defaultRowHeight="12.75" x14ac:dyDescent="0.2"/>
  <cols>
    <col min="1" max="16384" width="11" style="1"/>
  </cols>
  <sheetData>
    <row r="1" spans="1:30" x14ac:dyDescent="0.2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4"/>
      <c r="AC1" s="4"/>
      <c r="AD1" s="4"/>
    </row>
    <row r="2" spans="1:30" s="2" customFormat="1" ht="89.25" x14ac:dyDescent="0.2">
      <c r="A2" s="6"/>
      <c r="B2" s="7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s">
        <v>37</v>
      </c>
      <c r="M2" s="8" t="s">
        <v>38</v>
      </c>
      <c r="N2" s="8" t="s">
        <v>39</v>
      </c>
      <c r="O2" s="8" t="s">
        <v>40</v>
      </c>
      <c r="P2" s="8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8" t="s">
        <v>46</v>
      </c>
      <c r="V2" s="8" t="s">
        <v>47</v>
      </c>
      <c r="W2" s="8" t="s">
        <v>48</v>
      </c>
      <c r="X2" s="8" t="s">
        <v>49</v>
      </c>
      <c r="Y2" s="7" t="s">
        <v>50</v>
      </c>
      <c r="Z2" s="8" t="s">
        <v>51</v>
      </c>
      <c r="AA2" s="8" t="s">
        <v>52</v>
      </c>
      <c r="AB2" s="7" t="s">
        <v>53</v>
      </c>
      <c r="AC2" s="7" t="s">
        <v>54</v>
      </c>
      <c r="AD2" s="7" t="s">
        <v>55</v>
      </c>
    </row>
    <row r="3" spans="1:30" x14ac:dyDescent="0.2">
      <c r="A3" s="9">
        <v>1959</v>
      </c>
      <c r="B3" s="10">
        <v>46275.036999999997</v>
      </c>
      <c r="C3" s="11">
        <v>10517.496999999999</v>
      </c>
      <c r="D3" s="11">
        <v>18896.117999999999</v>
      </c>
      <c r="E3" s="11">
        <v>4651.3230000000003</v>
      </c>
      <c r="F3" s="11">
        <v>4154.3879999999999</v>
      </c>
      <c r="G3" s="11">
        <v>1026.6659999999999</v>
      </c>
      <c r="H3" s="11">
        <v>678.98800000000006</v>
      </c>
      <c r="I3" s="11">
        <v>903.90300000000002</v>
      </c>
      <c r="J3" s="11">
        <v>1140.3340000000001</v>
      </c>
      <c r="K3" s="11">
        <v>8160.607</v>
      </c>
      <c r="L3" s="11">
        <v>941.55600000000004</v>
      </c>
      <c r="M3" s="11">
        <v>1549.4090000000001</v>
      </c>
      <c r="N3" s="11">
        <v>1962.65</v>
      </c>
      <c r="O3" s="11">
        <v>4400.1149999999998</v>
      </c>
      <c r="P3" s="11">
        <v>441.19299999999998</v>
      </c>
      <c r="Q3" s="10">
        <v>194.584</v>
      </c>
      <c r="R3" s="10">
        <v>208.87700000000001</v>
      </c>
      <c r="S3" s="10">
        <v>3087.893</v>
      </c>
      <c r="T3" s="10">
        <v>13066.736999999999</v>
      </c>
      <c r="U3" s="11">
        <v>2121.4059999999999</v>
      </c>
      <c r="V3" s="11">
        <v>9060.6229999999996</v>
      </c>
      <c r="W3" s="11">
        <v>2658.7579999999998</v>
      </c>
      <c r="X3" s="11">
        <v>470.30099999999999</v>
      </c>
      <c r="Y3" s="10">
        <v>1835.646</v>
      </c>
      <c r="Z3" s="11">
        <v>960.255</v>
      </c>
      <c r="AA3" s="11">
        <v>1012.076</v>
      </c>
      <c r="AB3" s="10">
        <v>53536.563000000002</v>
      </c>
      <c r="AC3" s="10">
        <v>170342.65700000001</v>
      </c>
      <c r="AD3" s="10">
        <v>228594.64499999999</v>
      </c>
    </row>
    <row r="4" spans="1:30" x14ac:dyDescent="0.2">
      <c r="A4" s="9">
        <v>1960</v>
      </c>
      <c r="B4" s="10">
        <v>49471.002999999997</v>
      </c>
      <c r="C4" s="11">
        <v>11311.346</v>
      </c>
      <c r="D4" s="11">
        <v>20348.574000000001</v>
      </c>
      <c r="E4" s="11">
        <v>4964.8519999999999</v>
      </c>
      <c r="F4" s="11">
        <v>4263.0290000000005</v>
      </c>
      <c r="G4" s="11">
        <v>1067.0319999999999</v>
      </c>
      <c r="H4" s="11">
        <v>691.03800000000001</v>
      </c>
      <c r="I4" s="11">
        <v>939.30600000000004</v>
      </c>
      <c r="J4" s="11">
        <v>1163.923</v>
      </c>
      <c r="K4" s="11">
        <v>8687.4629999999997</v>
      </c>
      <c r="L4" s="11">
        <v>1029.4760000000001</v>
      </c>
      <c r="M4" s="11">
        <v>1673.9349999999999</v>
      </c>
      <c r="N4" s="11">
        <v>2301.328</v>
      </c>
      <c r="O4" s="11">
        <v>4483.4589999999998</v>
      </c>
      <c r="P4" s="11">
        <v>458.50900000000001</v>
      </c>
      <c r="Q4" s="10">
        <v>212.29599999999999</v>
      </c>
      <c r="R4" s="10">
        <v>243.03700000000001</v>
      </c>
      <c r="S4" s="10">
        <v>3209.6770000000001</v>
      </c>
      <c r="T4" s="10">
        <v>13482.103999999999</v>
      </c>
      <c r="U4" s="11">
        <v>2158.7669999999998</v>
      </c>
      <c r="V4" s="11">
        <v>9286.9210000000003</v>
      </c>
      <c r="W4" s="11">
        <v>2768.8739999999998</v>
      </c>
      <c r="X4" s="11">
        <v>489.447</v>
      </c>
      <c r="Y4" s="10">
        <v>1824.152</v>
      </c>
      <c r="Z4" s="11">
        <v>953.62099999999998</v>
      </c>
      <c r="AA4" s="11">
        <v>1008.313</v>
      </c>
      <c r="AB4" s="10">
        <v>56735.322</v>
      </c>
      <c r="AC4" s="10">
        <v>178637.48300000001</v>
      </c>
      <c r="AD4" s="10">
        <v>240096.946</v>
      </c>
    </row>
    <row r="5" spans="1:30" x14ac:dyDescent="0.2">
      <c r="A5" s="9">
        <v>1961</v>
      </c>
      <c r="B5" s="10">
        <v>52824.625</v>
      </c>
      <c r="C5" s="11">
        <v>12151.507</v>
      </c>
      <c r="D5" s="11">
        <v>21893.94</v>
      </c>
      <c r="E5" s="11">
        <v>5490.5219999999999</v>
      </c>
      <c r="F5" s="11">
        <v>4448.5280000000002</v>
      </c>
      <c r="G5" s="11">
        <v>1121.4829999999999</v>
      </c>
      <c r="H5" s="11">
        <v>719.71</v>
      </c>
      <c r="I5" s="11">
        <v>987.36800000000005</v>
      </c>
      <c r="J5" s="11">
        <v>1208.2560000000001</v>
      </c>
      <c r="K5" s="11">
        <v>9109.4110000000001</v>
      </c>
      <c r="L5" s="11">
        <v>1119.819</v>
      </c>
      <c r="M5" s="11">
        <v>1779.8510000000001</v>
      </c>
      <c r="N5" s="11">
        <v>2640.0880000000002</v>
      </c>
      <c r="O5" s="11">
        <v>4463.2659999999996</v>
      </c>
      <c r="P5" s="11">
        <v>481.94400000000002</v>
      </c>
      <c r="Q5" s="10">
        <v>231.95500000000001</v>
      </c>
      <c r="R5" s="10">
        <v>274.68</v>
      </c>
      <c r="S5" s="10">
        <v>3397.5949999999998</v>
      </c>
      <c r="T5" s="10">
        <v>13785.950999999999</v>
      </c>
      <c r="U5" s="11">
        <v>2188.105</v>
      </c>
      <c r="V5" s="11">
        <v>9431.1419999999998</v>
      </c>
      <c r="W5" s="11">
        <v>2855.5410000000002</v>
      </c>
      <c r="X5" s="11">
        <v>503.81700000000001</v>
      </c>
      <c r="Y5" s="10">
        <v>1871.41</v>
      </c>
      <c r="Z5" s="11">
        <v>975.26099999999997</v>
      </c>
      <c r="AA5" s="11">
        <v>1047.605</v>
      </c>
      <c r="AB5" s="10">
        <v>60267.803</v>
      </c>
      <c r="AC5" s="10">
        <v>188901.185</v>
      </c>
      <c r="AD5" s="10">
        <v>254068.30300000001</v>
      </c>
    </row>
    <row r="6" spans="1:30" x14ac:dyDescent="0.2">
      <c r="A6" s="9">
        <v>1962</v>
      </c>
      <c r="B6" s="10">
        <v>58259.216999999997</v>
      </c>
      <c r="C6" s="11">
        <v>13250.098</v>
      </c>
      <c r="D6" s="11">
        <v>23886.677</v>
      </c>
      <c r="E6" s="11">
        <v>5983.9489999999996</v>
      </c>
      <c r="F6" s="11">
        <v>4670.9570000000003</v>
      </c>
      <c r="G6" s="11">
        <v>1202.2950000000001</v>
      </c>
      <c r="H6" s="11">
        <v>750.88199999999995</v>
      </c>
      <c r="I6" s="11">
        <v>1058.0409999999999</v>
      </c>
      <c r="J6" s="11">
        <v>1251.3040000000001</v>
      </c>
      <c r="K6" s="11">
        <v>10355.755999999999</v>
      </c>
      <c r="L6" s="11">
        <v>1226.951</v>
      </c>
      <c r="M6" s="11">
        <v>2042.6949999999999</v>
      </c>
      <c r="N6" s="11">
        <v>3449.3009999999999</v>
      </c>
      <c r="O6" s="11">
        <v>4971.8630000000003</v>
      </c>
      <c r="P6" s="11">
        <v>516.62699999999995</v>
      </c>
      <c r="Q6" s="10">
        <v>254.227</v>
      </c>
      <c r="R6" s="10">
        <v>316.21800000000002</v>
      </c>
      <c r="S6" s="10">
        <v>3534.1590000000001</v>
      </c>
      <c r="T6" s="10">
        <v>13879.598</v>
      </c>
      <c r="U6" s="11">
        <v>2201.8029999999999</v>
      </c>
      <c r="V6" s="11">
        <v>9417.357</v>
      </c>
      <c r="W6" s="11">
        <v>2896.1590000000001</v>
      </c>
      <c r="X6" s="11">
        <v>509.80399999999997</v>
      </c>
      <c r="Y6" s="10">
        <v>1885.7729999999999</v>
      </c>
      <c r="Z6" s="11">
        <v>980.20600000000002</v>
      </c>
      <c r="AA6" s="11">
        <v>1066.944</v>
      </c>
      <c r="AB6" s="10">
        <v>65474.447</v>
      </c>
      <c r="AC6" s="10">
        <v>202388.052</v>
      </c>
      <c r="AD6" s="10">
        <v>272806.98700000002</v>
      </c>
    </row>
    <row r="7" spans="1:30" x14ac:dyDescent="0.2">
      <c r="A7" s="9">
        <v>1963</v>
      </c>
      <c r="B7" s="10">
        <v>63875.591</v>
      </c>
      <c r="C7" s="11">
        <v>14189.102999999999</v>
      </c>
      <c r="D7" s="11">
        <v>25579.268</v>
      </c>
      <c r="E7" s="11">
        <v>6597.5690000000004</v>
      </c>
      <c r="F7" s="11">
        <v>4933.2</v>
      </c>
      <c r="G7" s="11">
        <v>1298.5619999999999</v>
      </c>
      <c r="H7" s="11">
        <v>787.04300000000001</v>
      </c>
      <c r="I7" s="11">
        <v>1142.645</v>
      </c>
      <c r="J7" s="11">
        <v>1302.4649999999999</v>
      </c>
      <c r="K7" s="11">
        <v>11925.061</v>
      </c>
      <c r="L7" s="11">
        <v>1430.671</v>
      </c>
      <c r="M7" s="11">
        <v>2351.7640000000001</v>
      </c>
      <c r="N7" s="11">
        <v>4398.357</v>
      </c>
      <c r="O7" s="11">
        <v>5519.17</v>
      </c>
      <c r="P7" s="11">
        <v>557.90800000000002</v>
      </c>
      <c r="Q7" s="10">
        <v>276.62700000000001</v>
      </c>
      <c r="R7" s="10">
        <v>346.35700000000003</v>
      </c>
      <c r="S7" s="10">
        <v>3796.3180000000002</v>
      </c>
      <c r="T7" s="10">
        <v>14775.304</v>
      </c>
      <c r="U7" s="11">
        <v>2273.5929999999998</v>
      </c>
      <c r="V7" s="11">
        <v>9971.11</v>
      </c>
      <c r="W7" s="11">
        <v>3117.491</v>
      </c>
      <c r="X7" s="11">
        <v>550.94200000000001</v>
      </c>
      <c r="Y7" s="10">
        <v>2117.2420000000002</v>
      </c>
      <c r="Z7" s="11">
        <v>1125.1949999999999</v>
      </c>
      <c r="AA7" s="11">
        <v>1083.845</v>
      </c>
      <c r="AB7" s="10">
        <v>71701.141000000003</v>
      </c>
      <c r="AC7" s="10">
        <v>216097.568</v>
      </c>
      <c r="AD7" s="10">
        <v>292499.946</v>
      </c>
    </row>
    <row r="8" spans="1:30" x14ac:dyDescent="0.2">
      <c r="A8" s="9">
        <v>1964</v>
      </c>
      <c r="B8" s="10">
        <v>66735.074999999997</v>
      </c>
      <c r="C8" s="11">
        <v>15051.897000000001</v>
      </c>
      <c r="D8" s="11">
        <v>27214.956999999999</v>
      </c>
      <c r="E8" s="11">
        <v>7240.9679999999998</v>
      </c>
      <c r="F8" s="11">
        <v>5147.0910000000003</v>
      </c>
      <c r="G8" s="11">
        <v>1375.4280000000001</v>
      </c>
      <c r="H8" s="11">
        <v>810.35199999999998</v>
      </c>
      <c r="I8" s="11">
        <v>1210.2719999999999</v>
      </c>
      <c r="J8" s="11">
        <v>1352.2049999999999</v>
      </c>
      <c r="K8" s="11">
        <v>11815.562</v>
      </c>
      <c r="L8" s="11">
        <v>1572.7159999999999</v>
      </c>
      <c r="M8" s="11">
        <v>2529.2170000000001</v>
      </c>
      <c r="N8" s="11">
        <v>5218.9179999999997</v>
      </c>
      <c r="O8" s="11">
        <v>4468.0410000000002</v>
      </c>
      <c r="P8" s="11">
        <v>590.94100000000003</v>
      </c>
      <c r="Q8" s="10">
        <v>297.31799999999998</v>
      </c>
      <c r="R8" s="10">
        <v>384.37099999999998</v>
      </c>
      <c r="S8" s="10">
        <v>4086.4459999999999</v>
      </c>
      <c r="T8" s="10">
        <v>15669.989</v>
      </c>
      <c r="U8" s="11">
        <v>2343.422</v>
      </c>
      <c r="V8" s="11">
        <v>10514.384</v>
      </c>
      <c r="W8" s="11">
        <v>3342.5529999999999</v>
      </c>
      <c r="X8" s="11">
        <v>593.00900000000001</v>
      </c>
      <c r="Y8" s="10">
        <v>2409.1460000000002</v>
      </c>
      <c r="Z8" s="11">
        <v>1310.6420000000001</v>
      </c>
      <c r="AA8" s="11">
        <v>1087.941</v>
      </c>
      <c r="AB8" s="10">
        <v>75699.983999999997</v>
      </c>
      <c r="AC8" s="10">
        <v>227969.66</v>
      </c>
      <c r="AD8" s="10">
        <v>308610.93900000001</v>
      </c>
    </row>
    <row r="9" spans="1:30" x14ac:dyDescent="0.2">
      <c r="A9" s="9">
        <v>1965</v>
      </c>
      <c r="B9" s="10">
        <v>71140.354000000007</v>
      </c>
      <c r="C9" s="11">
        <v>16015.567999999999</v>
      </c>
      <c r="D9" s="11">
        <v>28982.671999999999</v>
      </c>
      <c r="E9" s="11">
        <v>7695.6880000000001</v>
      </c>
      <c r="F9" s="11">
        <v>5333.893</v>
      </c>
      <c r="G9" s="11">
        <v>1457.9839999999999</v>
      </c>
      <c r="H9" s="11">
        <v>823.07600000000002</v>
      </c>
      <c r="I9" s="11">
        <v>1283.252</v>
      </c>
      <c r="J9" s="11">
        <v>1390.6120000000001</v>
      </c>
      <c r="K9" s="11">
        <v>12702.928</v>
      </c>
      <c r="L9" s="11">
        <v>1679.8610000000001</v>
      </c>
      <c r="M9" s="11">
        <v>2819.221</v>
      </c>
      <c r="N9" s="11">
        <v>6340.2820000000002</v>
      </c>
      <c r="O9" s="11">
        <v>4416.7489999999998</v>
      </c>
      <c r="P9" s="11">
        <v>626.34199999999998</v>
      </c>
      <c r="Q9" s="10">
        <v>311.82299999999998</v>
      </c>
      <c r="R9" s="10">
        <v>426.91399999999999</v>
      </c>
      <c r="S9" s="10">
        <v>4336.29</v>
      </c>
      <c r="T9" s="10">
        <v>16547.468000000001</v>
      </c>
      <c r="U9" s="11">
        <v>2410.6509999999998</v>
      </c>
      <c r="V9" s="11">
        <v>11038.072</v>
      </c>
      <c r="W9" s="11">
        <v>3567.1880000000001</v>
      </c>
      <c r="X9" s="11">
        <v>635.24900000000002</v>
      </c>
      <c r="Y9" s="10">
        <v>2359.768</v>
      </c>
      <c r="Z9" s="11">
        <v>1285.0419999999999</v>
      </c>
      <c r="AA9" s="11">
        <v>1059.5219999999999</v>
      </c>
      <c r="AB9" s="10">
        <v>80115.66</v>
      </c>
      <c r="AC9" s="10">
        <v>235850.85</v>
      </c>
      <c r="AD9" s="10">
        <v>320560.47100000002</v>
      </c>
    </row>
    <row r="10" spans="1:30" x14ac:dyDescent="0.2">
      <c r="A10" s="9">
        <v>1966</v>
      </c>
      <c r="B10" s="10">
        <v>75585.142000000007</v>
      </c>
      <c r="C10" s="11">
        <v>17073.696</v>
      </c>
      <c r="D10" s="11">
        <v>30923.785</v>
      </c>
      <c r="E10" s="11">
        <v>8181.3760000000002</v>
      </c>
      <c r="F10" s="11">
        <v>5538.9690000000001</v>
      </c>
      <c r="G10" s="11">
        <v>1539.7070000000001</v>
      </c>
      <c r="H10" s="11">
        <v>846.04499999999996</v>
      </c>
      <c r="I10" s="11">
        <v>1355.0170000000001</v>
      </c>
      <c r="J10" s="11">
        <v>1430.326</v>
      </c>
      <c r="K10" s="11">
        <v>13406.311</v>
      </c>
      <c r="L10" s="11">
        <v>2003.9749999999999</v>
      </c>
      <c r="M10" s="11">
        <v>2988.5039999999999</v>
      </c>
      <c r="N10" s="11">
        <v>7210.3869999999997</v>
      </c>
      <c r="O10" s="11">
        <v>3944.5390000000002</v>
      </c>
      <c r="P10" s="11">
        <v>661.47</v>
      </c>
      <c r="Q10" s="10">
        <v>318.31700000000001</v>
      </c>
      <c r="R10" s="10">
        <v>455.065</v>
      </c>
      <c r="S10" s="10">
        <v>4518.7979999999998</v>
      </c>
      <c r="T10" s="10">
        <v>16900.131000000001</v>
      </c>
      <c r="U10" s="11">
        <v>2441.6480000000001</v>
      </c>
      <c r="V10" s="11">
        <v>11189.482</v>
      </c>
      <c r="W10" s="11">
        <v>3673.5369999999998</v>
      </c>
      <c r="X10" s="11">
        <v>653.63800000000003</v>
      </c>
      <c r="Y10" s="10">
        <v>2467.6860000000001</v>
      </c>
      <c r="Z10" s="11">
        <v>1351.8320000000001</v>
      </c>
      <c r="AA10" s="11">
        <v>1070.752</v>
      </c>
      <c r="AB10" s="10">
        <v>84635.078999999998</v>
      </c>
      <c r="AC10" s="10">
        <v>246728.81599999999</v>
      </c>
      <c r="AD10" s="10">
        <v>335955.09899999999</v>
      </c>
    </row>
    <row r="11" spans="1:30" x14ac:dyDescent="0.2">
      <c r="A11" s="9">
        <v>1967</v>
      </c>
      <c r="B11" s="10">
        <v>81512.486999999994</v>
      </c>
      <c r="C11" s="11">
        <v>18246.544999999998</v>
      </c>
      <c r="D11" s="11">
        <v>33055.002</v>
      </c>
      <c r="E11" s="11">
        <v>8869.607</v>
      </c>
      <c r="F11" s="11">
        <v>5777.1279999999997</v>
      </c>
      <c r="G11" s="11">
        <v>1631.9469999999999</v>
      </c>
      <c r="H11" s="11">
        <v>865.15899999999999</v>
      </c>
      <c r="I11" s="11">
        <v>1436.269</v>
      </c>
      <c r="J11" s="11">
        <v>1486.239</v>
      </c>
      <c r="K11" s="11">
        <v>14880.29</v>
      </c>
      <c r="L11" s="11">
        <v>2298.5740000000001</v>
      </c>
      <c r="M11" s="11">
        <v>3297.828</v>
      </c>
      <c r="N11" s="11">
        <v>8687.893</v>
      </c>
      <c r="O11" s="11">
        <v>4007.5650000000001</v>
      </c>
      <c r="P11" s="11">
        <v>700.96900000000005</v>
      </c>
      <c r="Q11" s="10">
        <v>340.77199999999999</v>
      </c>
      <c r="R11" s="10">
        <v>514.11699999999996</v>
      </c>
      <c r="S11" s="10">
        <v>4559.6419999999998</v>
      </c>
      <c r="T11" s="10">
        <v>17290.082999999999</v>
      </c>
      <c r="U11" s="11">
        <v>2474.7579999999998</v>
      </c>
      <c r="V11" s="11">
        <v>11362.790999999999</v>
      </c>
      <c r="W11" s="11">
        <v>3790.0120000000002</v>
      </c>
      <c r="X11" s="11">
        <v>673.88900000000001</v>
      </c>
      <c r="Y11" s="10">
        <v>2676.098</v>
      </c>
      <c r="Z11" s="11">
        <v>1479.6320000000001</v>
      </c>
      <c r="AA11" s="11">
        <v>1097.9259999999999</v>
      </c>
      <c r="AB11" s="10">
        <v>90721.115999999995</v>
      </c>
      <c r="AC11" s="10">
        <v>257763.95300000001</v>
      </c>
      <c r="AD11" s="10">
        <v>352732.46600000001</v>
      </c>
    </row>
    <row r="12" spans="1:30" x14ac:dyDescent="0.2">
      <c r="A12" s="9">
        <v>1968</v>
      </c>
      <c r="B12" s="10">
        <v>87379.807000000001</v>
      </c>
      <c r="C12" s="11">
        <v>19512.580999999998</v>
      </c>
      <c r="D12" s="11">
        <v>35566.737999999998</v>
      </c>
      <c r="E12" s="11">
        <v>9135.9259999999995</v>
      </c>
      <c r="F12" s="11">
        <v>6086.47</v>
      </c>
      <c r="G12" s="11">
        <v>1819.2660000000001</v>
      </c>
      <c r="H12" s="11">
        <v>879.98800000000006</v>
      </c>
      <c r="I12" s="11">
        <v>1601.07</v>
      </c>
      <c r="J12" s="11">
        <v>1504.94</v>
      </c>
      <c r="K12" s="11">
        <v>16172.74</v>
      </c>
      <c r="L12" s="11">
        <v>2622.703</v>
      </c>
      <c r="M12" s="11">
        <v>3656.4760000000001</v>
      </c>
      <c r="N12" s="11">
        <v>10142.328</v>
      </c>
      <c r="O12" s="11">
        <v>3707.9169999999999</v>
      </c>
      <c r="P12" s="11">
        <v>781.41499999999996</v>
      </c>
      <c r="Q12" s="10">
        <v>353.90499999999997</v>
      </c>
      <c r="R12" s="10">
        <v>571.40300000000002</v>
      </c>
      <c r="S12" s="10">
        <v>4718.6400000000003</v>
      </c>
      <c r="T12" s="10">
        <v>17322.306</v>
      </c>
      <c r="U12" s="11">
        <v>2484.52</v>
      </c>
      <c r="V12" s="11">
        <v>11287.588</v>
      </c>
      <c r="W12" s="11">
        <v>3823.0709999999999</v>
      </c>
      <c r="X12" s="11">
        <v>677.60400000000004</v>
      </c>
      <c r="Y12" s="10">
        <v>3147.0169999999998</v>
      </c>
      <c r="Z12" s="11">
        <v>1763.127</v>
      </c>
      <c r="AA12" s="11">
        <v>1183.7629999999999</v>
      </c>
      <c r="AB12" s="10">
        <v>97289.914000000004</v>
      </c>
      <c r="AC12" s="10">
        <v>266944.42099999997</v>
      </c>
      <c r="AD12" s="10">
        <v>367942.29800000001</v>
      </c>
    </row>
    <row r="13" spans="1:30" x14ac:dyDescent="0.2">
      <c r="A13" s="9">
        <v>1969</v>
      </c>
      <c r="B13" s="10">
        <v>94763.803</v>
      </c>
      <c r="C13" s="11">
        <v>21416.364000000001</v>
      </c>
      <c r="D13" s="11">
        <v>38801.063000000002</v>
      </c>
      <c r="E13" s="11">
        <v>9616.6679999999997</v>
      </c>
      <c r="F13" s="11">
        <v>6422.3869999999997</v>
      </c>
      <c r="G13" s="11">
        <v>1992.1179999999999</v>
      </c>
      <c r="H13" s="11">
        <v>909.47500000000002</v>
      </c>
      <c r="I13" s="11">
        <v>1752.92</v>
      </c>
      <c r="J13" s="11">
        <v>1540.413</v>
      </c>
      <c r="K13" s="11">
        <v>17372.486000000001</v>
      </c>
      <c r="L13" s="11">
        <v>2948.431</v>
      </c>
      <c r="M13" s="11">
        <v>3985.4659999999999</v>
      </c>
      <c r="N13" s="11">
        <v>11310.343000000001</v>
      </c>
      <c r="O13" s="11">
        <v>3434.5360000000001</v>
      </c>
      <c r="P13" s="11">
        <v>855.548</v>
      </c>
      <c r="Q13" s="10">
        <v>396.50299999999999</v>
      </c>
      <c r="R13" s="10">
        <v>628.44799999999998</v>
      </c>
      <c r="S13" s="10">
        <v>5205.9009999999998</v>
      </c>
      <c r="T13" s="10">
        <v>17895.437000000002</v>
      </c>
      <c r="U13" s="11">
        <v>2529.5070000000001</v>
      </c>
      <c r="V13" s="11">
        <v>11579.951999999999</v>
      </c>
      <c r="W13" s="11">
        <v>3984.875</v>
      </c>
      <c r="X13" s="11">
        <v>706.74300000000005</v>
      </c>
      <c r="Y13" s="10">
        <v>4130.5889999999999</v>
      </c>
      <c r="Z13" s="11">
        <v>2378.049</v>
      </c>
      <c r="AA13" s="11">
        <v>1251.7139999999999</v>
      </c>
      <c r="AB13" s="10">
        <v>107034.31200000001</v>
      </c>
      <c r="AC13" s="10">
        <v>281628.37599999999</v>
      </c>
      <c r="AD13" s="10">
        <v>391745.22100000002</v>
      </c>
    </row>
    <row r="14" spans="1:30" x14ac:dyDescent="0.2">
      <c r="A14" s="9">
        <v>1970</v>
      </c>
      <c r="B14" s="10">
        <v>101175.37300000001</v>
      </c>
      <c r="C14" s="11">
        <v>22699.147000000001</v>
      </c>
      <c r="D14" s="11">
        <v>41206.659</v>
      </c>
      <c r="E14" s="11">
        <v>10215.684999999999</v>
      </c>
      <c r="F14" s="11">
        <v>6720.8720000000003</v>
      </c>
      <c r="G14" s="11">
        <v>2131.4650000000001</v>
      </c>
      <c r="H14" s="11">
        <v>932.60299999999995</v>
      </c>
      <c r="I14" s="11">
        <v>1875.259</v>
      </c>
      <c r="J14" s="11">
        <v>1586.742</v>
      </c>
      <c r="K14" s="11">
        <v>19020.734</v>
      </c>
      <c r="L14" s="11">
        <v>3335.0360000000001</v>
      </c>
      <c r="M14" s="11">
        <v>4483.2129999999997</v>
      </c>
      <c r="N14" s="11">
        <v>12843.249</v>
      </c>
      <c r="O14" s="11">
        <v>3220.7109999999998</v>
      </c>
      <c r="P14" s="11">
        <v>900.26099999999997</v>
      </c>
      <c r="Q14" s="10">
        <v>430.39</v>
      </c>
      <c r="R14" s="10">
        <v>668.02599999999995</v>
      </c>
      <c r="S14" s="10">
        <v>5247.47</v>
      </c>
      <c r="T14" s="10">
        <v>17882.067999999999</v>
      </c>
      <c r="U14" s="11">
        <v>2536.31</v>
      </c>
      <c r="V14" s="11">
        <v>11470.154</v>
      </c>
      <c r="W14" s="11">
        <v>4008.174</v>
      </c>
      <c r="X14" s="11">
        <v>708.16600000000005</v>
      </c>
      <c r="Y14" s="10">
        <v>4548.375</v>
      </c>
      <c r="Z14" s="11">
        <v>2650.5990000000002</v>
      </c>
      <c r="AA14" s="11">
        <v>1232.1379999999999</v>
      </c>
      <c r="AB14" s="10">
        <v>113909.21799999999</v>
      </c>
      <c r="AC14" s="10">
        <v>292865.027</v>
      </c>
      <c r="AD14" s="10">
        <v>409521.21899999998</v>
      </c>
    </row>
    <row r="15" spans="1:30" x14ac:dyDescent="0.2">
      <c r="A15" s="9">
        <v>1971</v>
      </c>
      <c r="B15" s="10">
        <v>106830.05100000001</v>
      </c>
      <c r="C15" s="11">
        <v>23816.82</v>
      </c>
      <c r="D15" s="11">
        <v>43626.968000000001</v>
      </c>
      <c r="E15" s="11">
        <v>11015.334999999999</v>
      </c>
      <c r="F15" s="11">
        <v>7136.6589999999997</v>
      </c>
      <c r="G15" s="11">
        <v>2334.491</v>
      </c>
      <c r="H15" s="11">
        <v>959.56799999999998</v>
      </c>
      <c r="I15" s="11">
        <v>2053.9810000000002</v>
      </c>
      <c r="J15" s="11">
        <v>1640.854</v>
      </c>
      <c r="K15" s="11">
        <v>19932.451000000001</v>
      </c>
      <c r="L15" s="11">
        <v>3625.6509999999998</v>
      </c>
      <c r="M15" s="11">
        <v>4844.1610000000001</v>
      </c>
      <c r="N15" s="11">
        <v>14148.767</v>
      </c>
      <c r="O15" s="11">
        <v>2704.5189999999998</v>
      </c>
      <c r="P15" s="11">
        <v>906.17</v>
      </c>
      <c r="Q15" s="10">
        <v>467.24799999999999</v>
      </c>
      <c r="R15" s="10">
        <v>697.47299999999996</v>
      </c>
      <c r="S15" s="10">
        <v>5614.2420000000002</v>
      </c>
      <c r="T15" s="10">
        <v>17845.155999999999</v>
      </c>
      <c r="U15" s="11">
        <v>2398.0160000000001</v>
      </c>
      <c r="V15" s="11">
        <v>11793.217000000001</v>
      </c>
      <c r="W15" s="11">
        <v>3962.5509999999999</v>
      </c>
      <c r="X15" s="11">
        <v>697.98299999999995</v>
      </c>
      <c r="Y15" s="10">
        <v>4805.2780000000002</v>
      </c>
      <c r="Z15" s="11">
        <v>2841.21</v>
      </c>
      <c r="AA15" s="11">
        <v>1111.6769999999999</v>
      </c>
      <c r="AB15" s="10">
        <v>120004.538</v>
      </c>
      <c r="AC15" s="10">
        <v>309540.92599999998</v>
      </c>
      <c r="AD15" s="10">
        <v>432511.61099999998</v>
      </c>
    </row>
    <row r="16" spans="1:30" x14ac:dyDescent="0.2">
      <c r="A16" s="9">
        <v>1972</v>
      </c>
      <c r="B16" s="10">
        <v>113150.462</v>
      </c>
      <c r="C16" s="11">
        <v>25294.642</v>
      </c>
      <c r="D16" s="11">
        <v>46435.086000000003</v>
      </c>
      <c r="E16" s="11">
        <v>11417.927</v>
      </c>
      <c r="F16" s="11">
        <v>7471.5839999999998</v>
      </c>
      <c r="G16" s="11">
        <v>2504.288</v>
      </c>
      <c r="H16" s="11">
        <v>986.08199999999999</v>
      </c>
      <c r="I16" s="11">
        <v>2203.4059999999999</v>
      </c>
      <c r="J16" s="11">
        <v>1672.422</v>
      </c>
      <c r="K16" s="11">
        <v>21060.149000000001</v>
      </c>
      <c r="L16" s="11">
        <v>4011.92</v>
      </c>
      <c r="M16" s="11">
        <v>5174.1390000000001</v>
      </c>
      <c r="N16" s="11">
        <v>15119.904</v>
      </c>
      <c r="O16" s="11">
        <v>2446.4850000000001</v>
      </c>
      <c r="P16" s="11">
        <v>890.11199999999997</v>
      </c>
      <c r="Q16" s="10">
        <v>526.52499999999998</v>
      </c>
      <c r="R16" s="10">
        <v>724.35699999999997</v>
      </c>
      <c r="S16" s="10">
        <v>5906.4539999999997</v>
      </c>
      <c r="T16" s="10">
        <v>18081.028999999999</v>
      </c>
      <c r="U16" s="11">
        <v>2499.7150000000001</v>
      </c>
      <c r="V16" s="11">
        <v>11835.540999999999</v>
      </c>
      <c r="W16" s="11">
        <v>4020.3679999999999</v>
      </c>
      <c r="X16" s="11">
        <v>705.68700000000001</v>
      </c>
      <c r="Y16" s="10">
        <v>4710.2550000000001</v>
      </c>
      <c r="Z16" s="11">
        <v>2713.0070000000001</v>
      </c>
      <c r="AA16" s="11">
        <v>1397.12</v>
      </c>
      <c r="AB16" s="10">
        <v>125962.713</v>
      </c>
      <c r="AC16" s="10">
        <v>325705.64399999997</v>
      </c>
      <c r="AD16" s="10">
        <v>454835.67</v>
      </c>
    </row>
    <row r="17" spans="1:30" x14ac:dyDescent="0.2">
      <c r="A17" s="9">
        <v>1973</v>
      </c>
      <c r="B17" s="10">
        <v>118095.702</v>
      </c>
      <c r="C17" s="11">
        <v>24090.877</v>
      </c>
      <c r="D17" s="11">
        <v>49810.527999999998</v>
      </c>
      <c r="E17" s="11">
        <v>12015.71</v>
      </c>
      <c r="F17" s="11">
        <v>7828.4459999999999</v>
      </c>
      <c r="G17" s="11">
        <v>2699.837</v>
      </c>
      <c r="H17" s="11">
        <v>1016.255</v>
      </c>
      <c r="I17" s="11">
        <v>2375.4409999999998</v>
      </c>
      <c r="J17" s="11">
        <v>1686.7950000000001</v>
      </c>
      <c r="K17" s="11">
        <v>22930.077000000001</v>
      </c>
      <c r="L17" s="11">
        <v>4439.8829999999998</v>
      </c>
      <c r="M17" s="11">
        <v>5620.335</v>
      </c>
      <c r="N17" s="11">
        <v>17041.232</v>
      </c>
      <c r="O17" s="11">
        <v>2318.3939999999998</v>
      </c>
      <c r="P17" s="11">
        <v>927.75400000000002</v>
      </c>
      <c r="Q17" s="10">
        <v>572.78099999999995</v>
      </c>
      <c r="R17" s="10">
        <v>750.41800000000001</v>
      </c>
      <c r="S17" s="10">
        <v>5982.4870000000001</v>
      </c>
      <c r="T17" s="10">
        <v>18542.133000000002</v>
      </c>
      <c r="U17" s="11">
        <v>2565.3040000000001</v>
      </c>
      <c r="V17" s="11">
        <v>11838.46</v>
      </c>
      <c r="W17" s="11">
        <v>4171.1149999999998</v>
      </c>
      <c r="X17" s="11">
        <v>764.10599999999999</v>
      </c>
      <c r="Y17" s="10">
        <v>6265.6260000000002</v>
      </c>
      <c r="Z17" s="11">
        <v>3684.6979999999999</v>
      </c>
      <c r="AA17" s="11">
        <v>1525.126</v>
      </c>
      <c r="AB17" s="10">
        <v>134629.943</v>
      </c>
      <c r="AC17" s="10">
        <v>342561.962</v>
      </c>
      <c r="AD17" s="10">
        <v>480197.64299999998</v>
      </c>
    </row>
    <row r="18" spans="1:30" x14ac:dyDescent="0.2">
      <c r="A18" s="9">
        <v>1974</v>
      </c>
      <c r="B18" s="10">
        <v>121050.459</v>
      </c>
      <c r="C18" s="11">
        <v>24044.34</v>
      </c>
      <c r="D18" s="11">
        <v>52508.180999999997</v>
      </c>
      <c r="E18" s="11">
        <v>12612.843000000001</v>
      </c>
      <c r="F18" s="11">
        <v>8195.7250000000004</v>
      </c>
      <c r="G18" s="11">
        <v>2923.3380000000002</v>
      </c>
      <c r="H18" s="11">
        <v>1017.019</v>
      </c>
      <c r="I18" s="11">
        <v>2571.989</v>
      </c>
      <c r="J18" s="11">
        <v>1710.809</v>
      </c>
      <c r="K18" s="11">
        <v>22437.425999999999</v>
      </c>
      <c r="L18" s="11">
        <v>4644.5410000000002</v>
      </c>
      <c r="M18" s="11">
        <v>5467.8149999999996</v>
      </c>
      <c r="N18" s="11">
        <v>14422.383</v>
      </c>
      <c r="O18" s="11">
        <v>2308.9250000000002</v>
      </c>
      <c r="P18" s="11">
        <v>1383.3710000000001</v>
      </c>
      <c r="Q18" s="10">
        <v>685.36800000000005</v>
      </c>
      <c r="R18" s="10">
        <v>797.39499999999998</v>
      </c>
      <c r="S18" s="10">
        <v>6293.94</v>
      </c>
      <c r="T18" s="10">
        <v>18652.812999999998</v>
      </c>
      <c r="U18" s="11">
        <v>2626.2460000000001</v>
      </c>
      <c r="V18" s="11">
        <v>11613.365</v>
      </c>
      <c r="W18" s="11">
        <v>4194.3119999999999</v>
      </c>
      <c r="X18" s="11">
        <v>823.73199999999997</v>
      </c>
      <c r="Y18" s="10">
        <v>8879.152</v>
      </c>
      <c r="Z18" s="11">
        <v>5382.34</v>
      </c>
      <c r="AA18" s="11">
        <v>1435.6890000000001</v>
      </c>
      <c r="AB18" s="10">
        <v>144791.196</v>
      </c>
      <c r="AC18" s="10">
        <v>347169.85499999998</v>
      </c>
      <c r="AD18" s="10">
        <v>493793.391</v>
      </c>
    </row>
    <row r="19" spans="1:30" x14ac:dyDescent="0.2">
      <c r="A19" s="9">
        <v>1975</v>
      </c>
      <c r="B19" s="10">
        <v>125860.961</v>
      </c>
      <c r="C19" s="11">
        <v>25240.248</v>
      </c>
      <c r="D19" s="11">
        <v>55278.025999999998</v>
      </c>
      <c r="E19" s="11">
        <v>11775.769</v>
      </c>
      <c r="F19" s="11">
        <v>8406.8389999999999</v>
      </c>
      <c r="G19" s="11">
        <v>3029.047</v>
      </c>
      <c r="H19" s="11">
        <v>1023.533</v>
      </c>
      <c r="I19" s="11">
        <v>2664.8870000000002</v>
      </c>
      <c r="J19" s="11">
        <v>1744.384</v>
      </c>
      <c r="K19" s="11">
        <v>23548.962</v>
      </c>
      <c r="L19" s="11">
        <v>5455.7669999999998</v>
      </c>
      <c r="M19" s="11">
        <v>6050.384</v>
      </c>
      <c r="N19" s="11">
        <v>13691.553</v>
      </c>
      <c r="O19" s="11">
        <v>2009.9849999999999</v>
      </c>
      <c r="P19" s="11">
        <v>1456.7929999999999</v>
      </c>
      <c r="Q19" s="10">
        <v>998.43100000000004</v>
      </c>
      <c r="R19" s="10">
        <v>840.46699999999998</v>
      </c>
      <c r="S19" s="10">
        <v>6450.4059999999999</v>
      </c>
      <c r="T19" s="10">
        <v>18653.487000000001</v>
      </c>
      <c r="U19" s="11">
        <v>2712.739</v>
      </c>
      <c r="V19" s="11">
        <v>11444.753000000001</v>
      </c>
      <c r="W19" s="11">
        <v>4169.8050000000003</v>
      </c>
      <c r="X19" s="11">
        <v>850.46100000000001</v>
      </c>
      <c r="Y19" s="10">
        <v>6665.3040000000001</v>
      </c>
      <c r="Z19" s="11">
        <v>3975.4839999999999</v>
      </c>
      <c r="AA19" s="11">
        <v>1378.5139999999999</v>
      </c>
      <c r="AB19" s="10">
        <v>144972.25200000001</v>
      </c>
      <c r="AC19" s="10">
        <v>356196.96500000003</v>
      </c>
      <c r="AD19" s="10">
        <v>503585.68</v>
      </c>
    </row>
    <row r="20" spans="1:30" x14ac:dyDescent="0.2">
      <c r="A20" s="9">
        <v>1976</v>
      </c>
      <c r="B20" s="10">
        <v>131599.72</v>
      </c>
      <c r="C20" s="11">
        <v>26323.309000000001</v>
      </c>
      <c r="D20" s="11">
        <v>58322.94</v>
      </c>
      <c r="E20" s="11">
        <v>12189.419</v>
      </c>
      <c r="F20" s="11">
        <v>8676.4699999999993</v>
      </c>
      <c r="G20" s="11">
        <v>3154.5030000000002</v>
      </c>
      <c r="H20" s="11">
        <v>1049.4960000000001</v>
      </c>
      <c r="I20" s="11">
        <v>2775.29</v>
      </c>
      <c r="J20" s="11">
        <v>1779.4690000000001</v>
      </c>
      <c r="K20" s="11">
        <v>24419.701000000001</v>
      </c>
      <c r="L20" s="11">
        <v>5865.1139999999996</v>
      </c>
      <c r="M20" s="11">
        <v>6186.8249999999998</v>
      </c>
      <c r="N20" s="11">
        <v>14292.699000000001</v>
      </c>
      <c r="O20" s="11">
        <v>1882.71</v>
      </c>
      <c r="P20" s="11">
        <v>1392.239</v>
      </c>
      <c r="Q20" s="10">
        <v>1297.8820000000001</v>
      </c>
      <c r="R20" s="10">
        <v>847.82299999999998</v>
      </c>
      <c r="S20" s="10">
        <v>6287.7089999999998</v>
      </c>
      <c r="T20" s="10">
        <v>19253.976999999999</v>
      </c>
      <c r="U20" s="11">
        <v>2736.28</v>
      </c>
      <c r="V20" s="11">
        <v>11996.873</v>
      </c>
      <c r="W20" s="11">
        <v>4192.4219999999996</v>
      </c>
      <c r="X20" s="11">
        <v>922.01900000000001</v>
      </c>
      <c r="Y20" s="10">
        <v>6924.2939999999999</v>
      </c>
      <c r="Z20" s="11">
        <v>4106.0940000000001</v>
      </c>
      <c r="AA20" s="11">
        <v>1546.4</v>
      </c>
      <c r="AB20" s="10">
        <v>152100.69099999999</v>
      </c>
      <c r="AC20" s="10">
        <v>376321.27100000001</v>
      </c>
      <c r="AD20" s="10">
        <v>531137.33799999999</v>
      </c>
    </row>
    <row r="21" spans="1:30" x14ac:dyDescent="0.2">
      <c r="A21" s="9">
        <v>1977</v>
      </c>
      <c r="B21" s="10">
        <v>137840.70800000001</v>
      </c>
      <c r="C21" s="11">
        <v>27702.984</v>
      </c>
      <c r="D21" s="11">
        <v>61340.446000000004</v>
      </c>
      <c r="E21" s="11">
        <v>12538.821</v>
      </c>
      <c r="F21" s="11">
        <v>9078.348</v>
      </c>
      <c r="G21" s="11">
        <v>3303.4430000000002</v>
      </c>
      <c r="H21" s="11">
        <v>1057.1089999999999</v>
      </c>
      <c r="I21" s="11">
        <v>2906.4009999999998</v>
      </c>
      <c r="J21" s="11">
        <v>1898.018</v>
      </c>
      <c r="K21" s="11">
        <v>25448.753000000001</v>
      </c>
      <c r="L21" s="11">
        <v>6889.5079999999998</v>
      </c>
      <c r="M21" s="11">
        <v>6525.9889999999996</v>
      </c>
      <c r="N21" s="11">
        <v>13118.662</v>
      </c>
      <c r="O21" s="11">
        <v>1704.4570000000001</v>
      </c>
      <c r="P21" s="11">
        <v>1467.088</v>
      </c>
      <c r="Q21" s="10">
        <v>1599.2750000000001</v>
      </c>
      <c r="R21" s="10">
        <v>911.11</v>
      </c>
      <c r="S21" s="10">
        <v>6374.9369999999999</v>
      </c>
      <c r="T21" s="10">
        <v>19340.406999999999</v>
      </c>
      <c r="U21" s="11">
        <v>2765.848</v>
      </c>
      <c r="V21" s="11">
        <v>12341.714</v>
      </c>
      <c r="W21" s="11">
        <v>4040.4960000000001</v>
      </c>
      <c r="X21" s="11">
        <v>945.99199999999996</v>
      </c>
      <c r="Y21" s="10">
        <v>6523.0060000000003</v>
      </c>
      <c r="Z21" s="11">
        <v>3823.6979999999999</v>
      </c>
      <c r="AA21" s="11">
        <v>1676.164</v>
      </c>
      <c r="AB21" s="10">
        <v>157883.372</v>
      </c>
      <c r="AC21" s="10">
        <v>384570.10100000002</v>
      </c>
      <c r="AD21" s="10">
        <v>544894.74600000004</v>
      </c>
    </row>
    <row r="22" spans="1:30" x14ac:dyDescent="0.2">
      <c r="A22" s="9">
        <v>1978</v>
      </c>
      <c r="B22" s="10">
        <v>145797.095</v>
      </c>
      <c r="C22" s="11">
        <v>28924.441999999999</v>
      </c>
      <c r="D22" s="11">
        <v>64543.807999999997</v>
      </c>
      <c r="E22" s="11">
        <v>12227.125</v>
      </c>
      <c r="F22" s="11">
        <v>9422.5020000000004</v>
      </c>
      <c r="G22" s="11">
        <v>3323.855</v>
      </c>
      <c r="H22" s="11">
        <v>1075.1020000000001</v>
      </c>
      <c r="I22" s="11">
        <v>2915.0920000000001</v>
      </c>
      <c r="J22" s="11">
        <v>2103.8620000000001</v>
      </c>
      <c r="K22" s="11">
        <v>28302.062000000002</v>
      </c>
      <c r="L22" s="11">
        <v>7722.1670000000004</v>
      </c>
      <c r="M22" s="11">
        <v>7262.0219999999999</v>
      </c>
      <c r="N22" s="11">
        <v>14856.164000000001</v>
      </c>
      <c r="O22" s="11">
        <v>1771.701</v>
      </c>
      <c r="P22" s="11">
        <v>1464.683</v>
      </c>
      <c r="Q22" s="10">
        <v>1844.2090000000001</v>
      </c>
      <c r="R22" s="10">
        <v>950.53499999999997</v>
      </c>
      <c r="S22" s="10">
        <v>6537.9489999999996</v>
      </c>
      <c r="T22" s="10">
        <v>19275.975999999999</v>
      </c>
      <c r="U22" s="11">
        <v>2797.5410000000002</v>
      </c>
      <c r="V22" s="11">
        <v>12101.197</v>
      </c>
      <c r="W22" s="11">
        <v>4053.665</v>
      </c>
      <c r="X22" s="11">
        <v>964.56799999999998</v>
      </c>
      <c r="Y22" s="10">
        <v>6620.2719999999999</v>
      </c>
      <c r="Z22" s="11">
        <v>3865.4279999999999</v>
      </c>
      <c r="AA22" s="11">
        <v>1777.8</v>
      </c>
      <c r="AB22" s="10">
        <v>166098.527</v>
      </c>
      <c r="AC22" s="10">
        <v>398062.78200000001</v>
      </c>
      <c r="AD22" s="10">
        <v>566321.94799999997</v>
      </c>
    </row>
    <row r="23" spans="1:30" x14ac:dyDescent="0.2">
      <c r="A23" s="9">
        <v>1979</v>
      </c>
      <c r="B23" s="10">
        <v>150334.459</v>
      </c>
      <c r="C23" s="11">
        <v>29659.593000000001</v>
      </c>
      <c r="D23" s="11">
        <v>68023.396999999997</v>
      </c>
      <c r="E23" s="11">
        <v>12036.771000000001</v>
      </c>
      <c r="F23" s="11">
        <v>9453.7819999999992</v>
      </c>
      <c r="G23" s="11">
        <v>3351.136</v>
      </c>
      <c r="H23" s="11">
        <v>1081.6110000000001</v>
      </c>
      <c r="I23" s="11">
        <v>2940.2910000000002</v>
      </c>
      <c r="J23" s="11">
        <v>2090.335</v>
      </c>
      <c r="K23" s="11">
        <v>28774.267</v>
      </c>
      <c r="L23" s="11">
        <v>8306.7360000000008</v>
      </c>
      <c r="M23" s="11">
        <v>7667.5789999999997</v>
      </c>
      <c r="N23" s="11">
        <v>13704.897000000001</v>
      </c>
      <c r="O23" s="11">
        <v>1707.8820000000001</v>
      </c>
      <c r="P23" s="11">
        <v>1507.4780000000001</v>
      </c>
      <c r="Q23" s="10">
        <v>2232.6060000000002</v>
      </c>
      <c r="R23" s="10">
        <v>1005.93</v>
      </c>
      <c r="S23" s="10">
        <v>6362.6970000000001</v>
      </c>
      <c r="T23" s="10">
        <v>19829.174999999999</v>
      </c>
      <c r="U23" s="11">
        <v>2776.1660000000002</v>
      </c>
      <c r="V23" s="11">
        <v>12380.19</v>
      </c>
      <c r="W23" s="11">
        <v>4280.4449999999997</v>
      </c>
      <c r="X23" s="11">
        <v>979.41499999999996</v>
      </c>
      <c r="Y23" s="10">
        <v>7070.2929999999997</v>
      </c>
      <c r="Z23" s="11">
        <v>4108.4319999999998</v>
      </c>
      <c r="AA23" s="11">
        <v>2000.1990000000001</v>
      </c>
      <c r="AB23" s="10">
        <v>173118.883</v>
      </c>
      <c r="AC23" s="10">
        <v>410588.08799999999</v>
      </c>
      <c r="AD23" s="10">
        <v>585695.73899999994</v>
      </c>
    </row>
    <row r="24" spans="1:30" x14ac:dyDescent="0.2">
      <c r="A24" s="9">
        <v>1980</v>
      </c>
      <c r="B24" s="10">
        <v>154847.049</v>
      </c>
      <c r="C24" s="11">
        <v>29980.580999999998</v>
      </c>
      <c r="D24" s="11">
        <v>71701.471999999994</v>
      </c>
      <c r="E24" s="11">
        <v>12538.498</v>
      </c>
      <c r="F24" s="11">
        <v>9477.3169999999991</v>
      </c>
      <c r="G24" s="11">
        <v>3329.3560000000002</v>
      </c>
      <c r="H24" s="11">
        <v>1072.9949999999999</v>
      </c>
      <c r="I24" s="11">
        <v>2955.2620000000002</v>
      </c>
      <c r="J24" s="11">
        <v>2123.5070000000001</v>
      </c>
      <c r="K24" s="11">
        <v>28945.379000000001</v>
      </c>
      <c r="L24" s="11">
        <v>8707.93</v>
      </c>
      <c r="M24" s="11">
        <v>8161.9690000000001</v>
      </c>
      <c r="N24" s="11">
        <v>12731.985000000001</v>
      </c>
      <c r="O24" s="11">
        <v>1553.9059999999999</v>
      </c>
      <c r="P24" s="11">
        <v>1516.8209999999999</v>
      </c>
      <c r="Q24" s="10">
        <v>2618.4009999999998</v>
      </c>
      <c r="R24" s="10">
        <v>1080.1320000000001</v>
      </c>
      <c r="S24" s="10">
        <v>6540.3410000000003</v>
      </c>
      <c r="T24" s="10">
        <v>20087.522000000001</v>
      </c>
      <c r="U24" s="11">
        <v>2846.7240000000002</v>
      </c>
      <c r="V24" s="11">
        <v>12552.607</v>
      </c>
      <c r="W24" s="11">
        <v>4282.3879999999999</v>
      </c>
      <c r="X24" s="11">
        <v>1010.087</v>
      </c>
      <c r="Y24" s="10">
        <v>7357.3779999999997</v>
      </c>
      <c r="Z24" s="11">
        <v>4236.0559999999996</v>
      </c>
      <c r="AA24" s="11">
        <v>2284.596</v>
      </c>
      <c r="AB24" s="10">
        <v>179779.88699999999</v>
      </c>
      <c r="AC24" s="10">
        <v>411685.74099999998</v>
      </c>
      <c r="AD24" s="10">
        <v>592690.98899999994</v>
      </c>
    </row>
    <row r="25" spans="1:30" x14ac:dyDescent="0.2">
      <c r="A25" s="9">
        <v>1981</v>
      </c>
      <c r="B25" s="10">
        <v>156275.291</v>
      </c>
      <c r="C25" s="11">
        <v>30101.166000000001</v>
      </c>
      <c r="D25" s="11">
        <v>75578.543000000005</v>
      </c>
      <c r="E25" s="11">
        <v>12461.447</v>
      </c>
      <c r="F25" s="11">
        <v>9639.5660000000007</v>
      </c>
      <c r="G25" s="11">
        <v>3382.4250000000002</v>
      </c>
      <c r="H25" s="11">
        <v>1115.4100000000001</v>
      </c>
      <c r="I25" s="11">
        <v>3035.59</v>
      </c>
      <c r="J25" s="11">
        <v>2123.9679999999998</v>
      </c>
      <c r="K25" s="11">
        <v>27424.222000000002</v>
      </c>
      <c r="L25" s="11">
        <v>8987.0390000000007</v>
      </c>
      <c r="M25" s="11">
        <v>7961.2449999999999</v>
      </c>
      <c r="N25" s="11">
        <v>10520.207</v>
      </c>
      <c r="O25" s="11">
        <v>1436.6859999999999</v>
      </c>
      <c r="P25" s="11">
        <v>1455.884</v>
      </c>
      <c r="Q25" s="10">
        <v>3065.7130000000002</v>
      </c>
      <c r="R25" s="10">
        <v>1133.1079999999999</v>
      </c>
      <c r="S25" s="10">
        <v>6516.4930000000004</v>
      </c>
      <c r="T25" s="10">
        <v>20124.691999999999</v>
      </c>
      <c r="U25" s="11">
        <v>2815.1529999999998</v>
      </c>
      <c r="V25" s="11">
        <v>12366.099</v>
      </c>
      <c r="W25" s="11">
        <v>4350.7470000000003</v>
      </c>
      <c r="X25" s="11">
        <v>1055.0519999999999</v>
      </c>
      <c r="Y25" s="10">
        <v>7571.3760000000002</v>
      </c>
      <c r="Z25" s="11">
        <v>4303.893</v>
      </c>
      <c r="AA25" s="11">
        <v>2625.2869999999998</v>
      </c>
      <c r="AB25" s="10">
        <v>183358.84899999999</v>
      </c>
      <c r="AC25" s="10">
        <v>420238.22100000002</v>
      </c>
      <c r="AD25" s="10">
        <v>604864.81999999995</v>
      </c>
    </row>
    <row r="26" spans="1:30" x14ac:dyDescent="0.2">
      <c r="A26" s="9">
        <v>1982</v>
      </c>
      <c r="B26" s="10">
        <v>158206.133</v>
      </c>
      <c r="C26" s="11">
        <v>28917.829000000002</v>
      </c>
      <c r="D26" s="11">
        <v>79340.525999999998</v>
      </c>
      <c r="E26" s="11">
        <v>12639.108</v>
      </c>
      <c r="F26" s="11">
        <v>9967.1119999999992</v>
      </c>
      <c r="G26" s="11">
        <v>3340.9609999999998</v>
      </c>
      <c r="H26" s="11">
        <v>1220.5509999999999</v>
      </c>
      <c r="I26" s="11">
        <v>3029.6990000000001</v>
      </c>
      <c r="J26" s="11">
        <v>2296.8009999999999</v>
      </c>
      <c r="K26" s="11">
        <v>26979.163</v>
      </c>
      <c r="L26" s="11">
        <v>9055.6749999999993</v>
      </c>
      <c r="M26" s="11">
        <v>8076.9629999999997</v>
      </c>
      <c r="N26" s="11">
        <v>9707.4179999999997</v>
      </c>
      <c r="O26" s="11">
        <v>1268.46</v>
      </c>
      <c r="P26" s="11">
        <v>1591.549</v>
      </c>
      <c r="Q26" s="10">
        <v>3355.27</v>
      </c>
      <c r="R26" s="10">
        <v>1149.8140000000001</v>
      </c>
      <c r="S26" s="10">
        <v>6555.7759999999998</v>
      </c>
      <c r="T26" s="10">
        <v>20545.392</v>
      </c>
      <c r="U26" s="11">
        <v>2688.0659999999998</v>
      </c>
      <c r="V26" s="11">
        <v>12579.620999999999</v>
      </c>
      <c r="W26" s="11">
        <v>4583.7960000000003</v>
      </c>
      <c r="X26" s="11">
        <v>1071.7639999999999</v>
      </c>
      <c r="Y26" s="10">
        <v>7685.7309999999998</v>
      </c>
      <c r="Z26" s="11">
        <v>4352.6629999999996</v>
      </c>
      <c r="AA26" s="11">
        <v>2762.4229999999998</v>
      </c>
      <c r="AB26" s="10">
        <v>186592.20199999999</v>
      </c>
      <c r="AC26" s="10">
        <v>436548.049</v>
      </c>
      <c r="AD26" s="10">
        <v>624807.65700000001</v>
      </c>
    </row>
    <row r="27" spans="1:30" x14ac:dyDescent="0.2">
      <c r="A27" s="9">
        <v>1983</v>
      </c>
      <c r="B27" s="10">
        <v>164233.90900000001</v>
      </c>
      <c r="C27" s="11">
        <v>29427.669000000002</v>
      </c>
      <c r="D27" s="11">
        <v>83522.337</v>
      </c>
      <c r="E27" s="11">
        <v>12468.101000000001</v>
      </c>
      <c r="F27" s="11">
        <v>10177.093999999999</v>
      </c>
      <c r="G27" s="11">
        <v>3285.5880000000002</v>
      </c>
      <c r="H27" s="11">
        <v>1367.8140000000001</v>
      </c>
      <c r="I27" s="11">
        <v>3039.953</v>
      </c>
      <c r="J27" s="11">
        <v>2359.4949999999999</v>
      </c>
      <c r="K27" s="11">
        <v>28160.434000000001</v>
      </c>
      <c r="L27" s="11">
        <v>9741.4760000000006</v>
      </c>
      <c r="M27" s="11">
        <v>8397.1720000000005</v>
      </c>
      <c r="N27" s="11">
        <v>9688.2739999999994</v>
      </c>
      <c r="O27" s="11">
        <v>1306.123</v>
      </c>
      <c r="P27" s="11">
        <v>1704.73</v>
      </c>
      <c r="Q27" s="10">
        <v>3652.538</v>
      </c>
      <c r="R27" s="10">
        <v>1228.9780000000001</v>
      </c>
      <c r="S27" s="10">
        <v>6645.45</v>
      </c>
      <c r="T27" s="10">
        <v>19981.080999999998</v>
      </c>
      <c r="U27" s="11">
        <v>2761.723</v>
      </c>
      <c r="V27" s="11">
        <v>12086.64</v>
      </c>
      <c r="W27" s="11">
        <v>4405.4690000000001</v>
      </c>
      <c r="X27" s="11">
        <v>1058.9380000000001</v>
      </c>
      <c r="Y27" s="10">
        <v>7885.7790000000005</v>
      </c>
      <c r="Z27" s="11">
        <v>4445.2640000000001</v>
      </c>
      <c r="AA27" s="11">
        <v>2964.95</v>
      </c>
      <c r="AB27" s="10">
        <v>193062.79800000001</v>
      </c>
      <c r="AC27" s="10">
        <v>436080.19799999997</v>
      </c>
      <c r="AD27" s="10">
        <v>630250.103</v>
      </c>
    </row>
    <row r="28" spans="1:30" x14ac:dyDescent="0.2">
      <c r="A28" s="9">
        <v>1984</v>
      </c>
      <c r="B28" s="10">
        <v>170964.01199999999</v>
      </c>
      <c r="C28" s="11">
        <v>30079.585999999999</v>
      </c>
      <c r="D28" s="11">
        <v>88089.07</v>
      </c>
      <c r="E28" s="11">
        <v>12365.032999999999</v>
      </c>
      <c r="F28" s="11">
        <v>10354.909</v>
      </c>
      <c r="G28" s="11">
        <v>3312.252</v>
      </c>
      <c r="H28" s="11">
        <v>1512.944</v>
      </c>
      <c r="I28" s="11">
        <v>3065.2719999999999</v>
      </c>
      <c r="J28" s="11">
        <v>2344.4549999999999</v>
      </c>
      <c r="K28" s="11">
        <v>29464.039000000001</v>
      </c>
      <c r="L28" s="11">
        <v>10572.53</v>
      </c>
      <c r="M28" s="11">
        <v>8921.8870000000006</v>
      </c>
      <c r="N28" s="11">
        <v>9534.5529999999999</v>
      </c>
      <c r="O28" s="11">
        <v>1314.489</v>
      </c>
      <c r="P28" s="11">
        <v>1661.7239999999999</v>
      </c>
      <c r="Q28" s="10">
        <v>3865.9870000000001</v>
      </c>
      <c r="R28" s="10">
        <v>1261.481</v>
      </c>
      <c r="S28" s="10">
        <v>6548.0339999999997</v>
      </c>
      <c r="T28" s="10">
        <v>19403.992999999999</v>
      </c>
      <c r="U28" s="11">
        <v>2802.7939999999999</v>
      </c>
      <c r="V28" s="11">
        <v>11718.513000000001</v>
      </c>
      <c r="W28" s="11">
        <v>4178.1589999999997</v>
      </c>
      <c r="X28" s="11">
        <v>1049.3209999999999</v>
      </c>
      <c r="Y28" s="10">
        <v>8084.5259999999998</v>
      </c>
      <c r="Z28" s="11">
        <v>4537.9189999999999</v>
      </c>
      <c r="AA28" s="11">
        <v>3165.9180000000001</v>
      </c>
      <c r="AB28" s="10">
        <v>199556.842</v>
      </c>
      <c r="AC28" s="10">
        <v>434608.92300000001</v>
      </c>
      <c r="AD28" s="10">
        <v>634726.28599999996</v>
      </c>
    </row>
    <row r="29" spans="1:30" x14ac:dyDescent="0.2">
      <c r="A29" s="9">
        <v>1985</v>
      </c>
      <c r="B29" s="10">
        <v>176686.079</v>
      </c>
      <c r="C29" s="11">
        <v>30909.404999999999</v>
      </c>
      <c r="D29" s="11">
        <v>90587.584000000003</v>
      </c>
      <c r="E29" s="11">
        <v>12444.644</v>
      </c>
      <c r="F29" s="11">
        <v>10528.745000000001</v>
      </c>
      <c r="G29" s="11">
        <v>3402.8</v>
      </c>
      <c r="H29" s="11">
        <v>1540.9580000000001</v>
      </c>
      <c r="I29" s="11">
        <v>3133.212</v>
      </c>
      <c r="J29" s="11">
        <v>2348.19</v>
      </c>
      <c r="K29" s="11">
        <v>31055.88</v>
      </c>
      <c r="L29" s="11">
        <v>11435.781000000001</v>
      </c>
      <c r="M29" s="11">
        <v>9500.3379999999997</v>
      </c>
      <c r="N29" s="11">
        <v>9492.74</v>
      </c>
      <c r="O29" s="11">
        <v>1385.87</v>
      </c>
      <c r="P29" s="11">
        <v>1706.104</v>
      </c>
      <c r="Q29" s="10">
        <v>4055.9749999999999</v>
      </c>
      <c r="R29" s="10">
        <v>1398.1679999999999</v>
      </c>
      <c r="S29" s="10">
        <v>6593.4470000000001</v>
      </c>
      <c r="T29" s="10">
        <v>19190.543000000001</v>
      </c>
      <c r="U29" s="11">
        <v>2825.4789999999998</v>
      </c>
      <c r="V29" s="11">
        <v>11273.43</v>
      </c>
      <c r="W29" s="11">
        <v>4217.7359999999999</v>
      </c>
      <c r="X29" s="11">
        <v>1059.0139999999999</v>
      </c>
      <c r="Y29" s="10">
        <v>8274.7150000000001</v>
      </c>
      <c r="Z29" s="11">
        <v>4613.4359999999997</v>
      </c>
      <c r="AA29" s="11">
        <v>3452.0120000000002</v>
      </c>
      <c r="AB29" s="10">
        <v>205511.459</v>
      </c>
      <c r="AC29" s="10">
        <v>441098.94500000001</v>
      </c>
      <c r="AD29" s="10">
        <v>646989.91399999999</v>
      </c>
    </row>
    <row r="30" spans="1:30" x14ac:dyDescent="0.2">
      <c r="A30" s="9">
        <v>1986</v>
      </c>
      <c r="B30" s="10">
        <v>181899.22700000001</v>
      </c>
      <c r="C30" s="11">
        <v>31727.29</v>
      </c>
      <c r="D30" s="11">
        <v>93461.684999999998</v>
      </c>
      <c r="E30" s="11">
        <v>12609.01</v>
      </c>
      <c r="F30" s="11">
        <v>10770.918</v>
      </c>
      <c r="G30" s="11">
        <v>3435.2649999999999</v>
      </c>
      <c r="H30" s="11">
        <v>1597.761</v>
      </c>
      <c r="I30" s="11">
        <v>3103.6509999999998</v>
      </c>
      <c r="J30" s="11">
        <v>2470.9520000000002</v>
      </c>
      <c r="K30" s="11">
        <v>32062.502</v>
      </c>
      <c r="L30" s="11">
        <v>12049.094999999999</v>
      </c>
      <c r="M30" s="11">
        <v>9593.4879999999994</v>
      </c>
      <c r="N30" s="11">
        <v>9761.4159999999993</v>
      </c>
      <c r="O30" s="11">
        <v>1335.7449999999999</v>
      </c>
      <c r="P30" s="11">
        <v>1770.3520000000001</v>
      </c>
      <c r="Q30" s="10">
        <v>4164.4110000000001</v>
      </c>
      <c r="R30" s="10">
        <v>1639.4580000000001</v>
      </c>
      <c r="S30" s="10">
        <v>6651.9549999999999</v>
      </c>
      <c r="T30" s="10">
        <v>18969.422999999999</v>
      </c>
      <c r="U30" s="11">
        <v>2911.4259999999999</v>
      </c>
      <c r="V30" s="11">
        <v>11001.929</v>
      </c>
      <c r="W30" s="11">
        <v>4135.6419999999998</v>
      </c>
      <c r="X30" s="11">
        <v>1062.5650000000001</v>
      </c>
      <c r="Y30" s="10">
        <v>8507.7939999999999</v>
      </c>
      <c r="Z30" s="11">
        <v>4693.433</v>
      </c>
      <c r="AA30" s="11">
        <v>3906.9720000000002</v>
      </c>
      <c r="AB30" s="10">
        <v>211061.51300000001</v>
      </c>
      <c r="AC30" s="10">
        <v>459723.82199999999</v>
      </c>
      <c r="AD30" s="10">
        <v>671351.18099999998</v>
      </c>
    </row>
    <row r="31" spans="1:30" x14ac:dyDescent="0.2">
      <c r="A31" s="9">
        <v>1987</v>
      </c>
      <c r="B31" s="10">
        <v>186481.152</v>
      </c>
      <c r="C31" s="11">
        <v>32503.574000000001</v>
      </c>
      <c r="D31" s="11">
        <v>96744.77</v>
      </c>
      <c r="E31" s="11">
        <v>12975.46</v>
      </c>
      <c r="F31" s="11">
        <v>10834.210999999999</v>
      </c>
      <c r="G31" s="11">
        <v>3483.9479999999999</v>
      </c>
      <c r="H31" s="11">
        <v>1618.328</v>
      </c>
      <c r="I31" s="11">
        <v>3143.4569999999999</v>
      </c>
      <c r="J31" s="11">
        <v>2444.5410000000002</v>
      </c>
      <c r="K31" s="11">
        <v>32373.731</v>
      </c>
      <c r="L31" s="11">
        <v>12482.808999999999</v>
      </c>
      <c r="M31" s="11">
        <v>9940.4639999999999</v>
      </c>
      <c r="N31" s="11">
        <v>8939.7819999999992</v>
      </c>
      <c r="O31" s="11">
        <v>1244.932</v>
      </c>
      <c r="P31" s="11">
        <v>1826.008</v>
      </c>
      <c r="Q31" s="10">
        <v>4455.9960000000001</v>
      </c>
      <c r="R31" s="10">
        <v>1924.29</v>
      </c>
      <c r="S31" s="10">
        <v>6819.0249999999996</v>
      </c>
      <c r="T31" s="10">
        <v>19169.892</v>
      </c>
      <c r="U31" s="11">
        <v>2873.8319999999999</v>
      </c>
      <c r="V31" s="11">
        <v>11222.151</v>
      </c>
      <c r="W31" s="11">
        <v>4209.1279999999997</v>
      </c>
      <c r="X31" s="11">
        <v>1045.797</v>
      </c>
      <c r="Y31" s="10">
        <v>8888.7430000000004</v>
      </c>
      <c r="Z31" s="11">
        <v>4890.2569999999996</v>
      </c>
      <c r="AA31" s="11">
        <v>4179.3549999999996</v>
      </c>
      <c r="AB31" s="10">
        <v>217622.87599999999</v>
      </c>
      <c r="AC31" s="10">
        <v>475177.85100000002</v>
      </c>
      <c r="AD31" s="10">
        <v>693417.21900000004</v>
      </c>
    </row>
    <row r="32" spans="1:30" x14ac:dyDescent="0.2">
      <c r="A32" s="9">
        <v>1988</v>
      </c>
      <c r="B32" s="10">
        <v>189647.56599999999</v>
      </c>
      <c r="C32" s="11">
        <v>33823.671999999999</v>
      </c>
      <c r="D32" s="11">
        <v>100807.101</v>
      </c>
      <c r="E32" s="11">
        <v>13121.672</v>
      </c>
      <c r="F32" s="11">
        <v>10955.102000000001</v>
      </c>
      <c r="G32" s="11">
        <v>3515.6750000000002</v>
      </c>
      <c r="H32" s="11">
        <v>1599.528</v>
      </c>
      <c r="I32" s="11">
        <v>3156.0529999999999</v>
      </c>
      <c r="J32" s="11">
        <v>2518.7930000000001</v>
      </c>
      <c r="K32" s="11">
        <v>30714.080999999998</v>
      </c>
      <c r="L32" s="11">
        <v>12157.964</v>
      </c>
      <c r="M32" s="11">
        <v>9131.4390000000003</v>
      </c>
      <c r="N32" s="11">
        <v>8270.777</v>
      </c>
      <c r="O32" s="11">
        <v>1138.57</v>
      </c>
      <c r="P32" s="11">
        <v>1698.508</v>
      </c>
      <c r="Q32" s="10">
        <v>4708.1710000000003</v>
      </c>
      <c r="R32" s="10">
        <v>2154.7510000000002</v>
      </c>
      <c r="S32" s="10">
        <v>7100.1149999999998</v>
      </c>
      <c r="T32" s="10">
        <v>19080.645</v>
      </c>
      <c r="U32" s="11">
        <v>2964.6750000000002</v>
      </c>
      <c r="V32" s="11">
        <v>11132.894</v>
      </c>
      <c r="W32" s="11">
        <v>4099.9369999999999</v>
      </c>
      <c r="X32" s="11">
        <v>1049.471</v>
      </c>
      <c r="Y32" s="10">
        <v>9315.4889999999996</v>
      </c>
      <c r="Z32" s="11">
        <v>5103.8549999999996</v>
      </c>
      <c r="AA32" s="11">
        <v>4533.3130000000001</v>
      </c>
      <c r="AB32" s="10">
        <v>222926.226</v>
      </c>
      <c r="AC32" s="10">
        <v>492625.51899999997</v>
      </c>
      <c r="AD32" s="10">
        <v>716354.21</v>
      </c>
    </row>
    <row r="33" spans="1:30" x14ac:dyDescent="0.2">
      <c r="A33" s="9">
        <v>1989</v>
      </c>
      <c r="B33" s="10">
        <v>194600.609</v>
      </c>
      <c r="C33" s="11">
        <v>34621.591999999997</v>
      </c>
      <c r="D33" s="11">
        <v>104754.16099999999</v>
      </c>
      <c r="E33" s="11">
        <v>13369.714</v>
      </c>
      <c r="F33" s="11">
        <v>11104.429</v>
      </c>
      <c r="G33" s="11">
        <v>3601.8209999999999</v>
      </c>
      <c r="H33" s="11">
        <v>1609.1469999999999</v>
      </c>
      <c r="I33" s="11">
        <v>3232.9940000000001</v>
      </c>
      <c r="J33" s="11">
        <v>2514.4920000000002</v>
      </c>
      <c r="K33" s="11">
        <v>30736.7</v>
      </c>
      <c r="L33" s="11">
        <v>12309.48</v>
      </c>
      <c r="M33" s="11">
        <v>9139.6749999999993</v>
      </c>
      <c r="N33" s="11">
        <v>8070.0349999999999</v>
      </c>
      <c r="O33" s="11">
        <v>1057.2719999999999</v>
      </c>
      <c r="P33" s="11">
        <v>1712.614</v>
      </c>
      <c r="Q33" s="10">
        <v>5048.9579999999996</v>
      </c>
      <c r="R33" s="10">
        <v>2324.7939999999999</v>
      </c>
      <c r="S33" s="10">
        <v>6953.6260000000002</v>
      </c>
      <c r="T33" s="10">
        <v>19147.79</v>
      </c>
      <c r="U33" s="11">
        <v>2923.02</v>
      </c>
      <c r="V33" s="11">
        <v>11398.993</v>
      </c>
      <c r="W33" s="11">
        <v>4021.3009999999999</v>
      </c>
      <c r="X33" s="11">
        <v>1055.287</v>
      </c>
      <c r="Y33" s="10">
        <v>9611.6270000000004</v>
      </c>
      <c r="Z33" s="11">
        <v>5222.4530000000004</v>
      </c>
      <c r="AA33" s="11">
        <v>5002.2299999999996</v>
      </c>
      <c r="AB33" s="10">
        <v>229016.011</v>
      </c>
      <c r="AC33" s="10">
        <v>509375.55499999999</v>
      </c>
      <c r="AD33" s="10">
        <v>739294.78599999996</v>
      </c>
    </row>
    <row r="34" spans="1:30" x14ac:dyDescent="0.2">
      <c r="A34" s="9">
        <v>1990</v>
      </c>
      <c r="B34" s="10">
        <v>200697.424</v>
      </c>
      <c r="C34" s="11">
        <v>35740.211000000003</v>
      </c>
      <c r="D34" s="11">
        <v>108096.705</v>
      </c>
      <c r="E34" s="11">
        <v>13606.869000000001</v>
      </c>
      <c r="F34" s="11">
        <v>11360.145</v>
      </c>
      <c r="G34" s="11">
        <v>3753.8490000000002</v>
      </c>
      <c r="H34" s="11">
        <v>1599.221</v>
      </c>
      <c r="I34" s="11">
        <v>3304.0149999999999</v>
      </c>
      <c r="J34" s="11">
        <v>2558.9470000000001</v>
      </c>
      <c r="K34" s="11">
        <v>31829.736000000001</v>
      </c>
      <c r="L34" s="11">
        <v>12971.208000000001</v>
      </c>
      <c r="M34" s="11">
        <v>9546.3169999999991</v>
      </c>
      <c r="N34" s="11">
        <v>7839.8469999999998</v>
      </c>
      <c r="O34" s="11">
        <v>1054.8710000000001</v>
      </c>
      <c r="P34" s="11">
        <v>1763.7860000000001</v>
      </c>
      <c r="Q34" s="10">
        <v>5429.7790000000005</v>
      </c>
      <c r="R34" s="10">
        <v>2439.0650000000001</v>
      </c>
      <c r="S34" s="10">
        <v>7341.8249999999998</v>
      </c>
      <c r="T34" s="10">
        <v>19927.421999999999</v>
      </c>
      <c r="U34" s="11">
        <v>3015.9290000000001</v>
      </c>
      <c r="V34" s="11">
        <v>12105.300999999999</v>
      </c>
      <c r="W34" s="11">
        <v>3985.6260000000002</v>
      </c>
      <c r="X34" s="11">
        <v>1157.3689999999999</v>
      </c>
      <c r="Y34" s="10">
        <v>9686.9480000000003</v>
      </c>
      <c r="Z34" s="11">
        <v>5241.6890000000003</v>
      </c>
      <c r="AA34" s="11">
        <v>5214.3159999999998</v>
      </c>
      <c r="AB34" s="10">
        <v>236158.91699999999</v>
      </c>
      <c r="AC34" s="10">
        <v>520891.44099999999</v>
      </c>
      <c r="AD34" s="10">
        <v>757901.27500000002</v>
      </c>
    </row>
    <row r="35" spans="1:30" x14ac:dyDescent="0.2">
      <c r="A35" s="9">
        <v>1991</v>
      </c>
      <c r="B35" s="10">
        <v>208443.7</v>
      </c>
      <c r="C35" s="11">
        <v>36596.563999999998</v>
      </c>
      <c r="D35" s="11">
        <v>111451.08900000001</v>
      </c>
      <c r="E35" s="11">
        <v>13727.184999999999</v>
      </c>
      <c r="F35" s="11">
        <v>11496.512000000001</v>
      </c>
      <c r="G35" s="11">
        <v>3791.37</v>
      </c>
      <c r="H35" s="11">
        <v>1747.356</v>
      </c>
      <c r="I35" s="11">
        <v>3313.88</v>
      </c>
      <c r="J35" s="11">
        <v>2505.5079999999998</v>
      </c>
      <c r="K35" s="11">
        <v>34689.423999999999</v>
      </c>
      <c r="L35" s="11">
        <v>14043.572</v>
      </c>
      <c r="M35" s="11">
        <v>10771.950999999999</v>
      </c>
      <c r="N35" s="11">
        <v>8403.5769999999993</v>
      </c>
      <c r="O35" s="11">
        <v>1107.636</v>
      </c>
      <c r="P35" s="11">
        <v>1886.403</v>
      </c>
      <c r="Q35" s="10">
        <v>5726.4589999999998</v>
      </c>
      <c r="R35" s="10">
        <v>2619.83</v>
      </c>
      <c r="S35" s="10">
        <v>7396.6549999999997</v>
      </c>
      <c r="T35" s="10">
        <v>20174.006000000001</v>
      </c>
      <c r="U35" s="11">
        <v>3092.1030000000001</v>
      </c>
      <c r="V35" s="11">
        <v>12237.513999999999</v>
      </c>
      <c r="W35" s="11">
        <v>4048.7809999999999</v>
      </c>
      <c r="X35" s="11">
        <v>1140.4570000000001</v>
      </c>
      <c r="Y35" s="10">
        <v>9436.9879999999994</v>
      </c>
      <c r="Z35" s="11">
        <v>5123.2219999999998</v>
      </c>
      <c r="AA35" s="11">
        <v>4947.5959999999995</v>
      </c>
      <c r="AB35" s="10">
        <v>242462.61300000001</v>
      </c>
      <c r="AC35" s="10">
        <v>519250.16499999998</v>
      </c>
      <c r="AD35" s="10">
        <v>762328.42500000005</v>
      </c>
    </row>
    <row r="36" spans="1:30" x14ac:dyDescent="0.2">
      <c r="A36" s="9">
        <v>1992</v>
      </c>
      <c r="B36" s="10">
        <v>212977.4</v>
      </c>
      <c r="C36" s="11">
        <v>36996.737000000001</v>
      </c>
      <c r="D36" s="11">
        <v>114963.952</v>
      </c>
      <c r="E36" s="11">
        <v>13746.121999999999</v>
      </c>
      <c r="F36" s="11">
        <v>11914.273999999999</v>
      </c>
      <c r="G36" s="11">
        <v>3813.1930000000002</v>
      </c>
      <c r="H36" s="11">
        <v>1929.491</v>
      </c>
      <c r="I36" s="11">
        <v>3389.873</v>
      </c>
      <c r="J36" s="11">
        <v>2622.6970000000001</v>
      </c>
      <c r="K36" s="11">
        <v>35015.745999999999</v>
      </c>
      <c r="L36" s="11">
        <v>14447.947</v>
      </c>
      <c r="M36" s="11">
        <v>10650.236999999999</v>
      </c>
      <c r="N36" s="11">
        <v>8384.6569999999992</v>
      </c>
      <c r="O36" s="11">
        <v>1018.43</v>
      </c>
      <c r="P36" s="11">
        <v>1887.6310000000001</v>
      </c>
      <c r="Q36" s="10">
        <v>5977.42</v>
      </c>
      <c r="R36" s="10">
        <v>2768.11</v>
      </c>
      <c r="S36" s="10">
        <v>7373.5240000000003</v>
      </c>
      <c r="T36" s="10">
        <v>20175.796999999999</v>
      </c>
      <c r="U36" s="11">
        <v>3141.7779999999998</v>
      </c>
      <c r="V36" s="11">
        <v>11900.555</v>
      </c>
      <c r="W36" s="11">
        <v>4184.1400000000003</v>
      </c>
      <c r="X36" s="11">
        <v>1160.962</v>
      </c>
      <c r="Y36" s="10">
        <v>9431.02</v>
      </c>
      <c r="Z36" s="11">
        <v>5087.0829999999996</v>
      </c>
      <c r="AA36" s="11">
        <v>5153.0990000000002</v>
      </c>
      <c r="AB36" s="10">
        <v>246847.1</v>
      </c>
      <c r="AC36" s="10">
        <v>522393.84600000002</v>
      </c>
      <c r="AD36" s="10">
        <v>769754.74699999997</v>
      </c>
    </row>
    <row r="37" spans="1:30" x14ac:dyDescent="0.2">
      <c r="A37" s="9">
        <v>1993</v>
      </c>
      <c r="B37" s="10">
        <v>217169.28599999999</v>
      </c>
      <c r="C37" s="11">
        <v>37027.152000000002</v>
      </c>
      <c r="D37" s="11">
        <v>118743.76700000001</v>
      </c>
      <c r="E37" s="11">
        <v>13932.651</v>
      </c>
      <c r="F37" s="11">
        <v>11934.065000000001</v>
      </c>
      <c r="G37" s="11">
        <v>3836.0259999999998</v>
      </c>
      <c r="H37" s="11">
        <v>2118.6410000000001</v>
      </c>
      <c r="I37" s="11">
        <v>3274.4549999999999</v>
      </c>
      <c r="J37" s="11">
        <v>2551.7750000000001</v>
      </c>
      <c r="K37" s="11">
        <v>35249.190999999999</v>
      </c>
      <c r="L37" s="11">
        <v>14522.754999999999</v>
      </c>
      <c r="M37" s="11">
        <v>11046.188</v>
      </c>
      <c r="N37" s="11">
        <v>8103.2619999999997</v>
      </c>
      <c r="O37" s="11">
        <v>1001.225</v>
      </c>
      <c r="P37" s="11">
        <v>1888.595</v>
      </c>
      <c r="Q37" s="10">
        <v>6252.2070000000003</v>
      </c>
      <c r="R37" s="10">
        <v>2911.2220000000002</v>
      </c>
      <c r="S37" s="10">
        <v>7286.201</v>
      </c>
      <c r="T37" s="10">
        <v>20114.292000000001</v>
      </c>
      <c r="U37" s="11">
        <v>3065.7159999999999</v>
      </c>
      <c r="V37" s="11">
        <v>11927.538</v>
      </c>
      <c r="W37" s="11">
        <v>4179.4530000000004</v>
      </c>
      <c r="X37" s="11">
        <v>1162.145</v>
      </c>
      <c r="Y37" s="10">
        <v>9635.7759999999998</v>
      </c>
      <c r="Z37" s="11">
        <v>5200.5429999999997</v>
      </c>
      <c r="AA37" s="11">
        <v>5246.1629999999996</v>
      </c>
      <c r="AB37" s="10">
        <v>251660.22200000001</v>
      </c>
      <c r="AC37" s="10">
        <v>517442.489</v>
      </c>
      <c r="AD37" s="10">
        <v>769443.56700000004</v>
      </c>
    </row>
    <row r="38" spans="1:30" x14ac:dyDescent="0.2">
      <c r="A38" s="9">
        <v>1994</v>
      </c>
      <c r="B38" s="10">
        <v>220387.62400000001</v>
      </c>
      <c r="C38" s="11">
        <v>37723.836000000003</v>
      </c>
      <c r="D38" s="11">
        <v>122256.732</v>
      </c>
      <c r="E38" s="11">
        <v>14043.814</v>
      </c>
      <c r="F38" s="11">
        <v>12261.584999999999</v>
      </c>
      <c r="G38" s="11">
        <v>3793.855</v>
      </c>
      <c r="H38" s="11">
        <v>2294.11</v>
      </c>
      <c r="I38" s="11">
        <v>3540.027</v>
      </c>
      <c r="J38" s="11">
        <v>2535.761</v>
      </c>
      <c r="K38" s="11">
        <v>34053.785000000003</v>
      </c>
      <c r="L38" s="11">
        <v>14331.521000000001</v>
      </c>
      <c r="M38" s="11">
        <v>10351.73</v>
      </c>
      <c r="N38" s="11">
        <v>7448.8069999999998</v>
      </c>
      <c r="O38" s="11">
        <v>1023.53</v>
      </c>
      <c r="P38" s="11">
        <v>1829.8050000000001</v>
      </c>
      <c r="Q38" s="10">
        <v>6505.3590000000004</v>
      </c>
      <c r="R38" s="10">
        <v>3040.46</v>
      </c>
      <c r="S38" s="10">
        <v>7284.0529999999999</v>
      </c>
      <c r="T38" s="10">
        <v>19737.664000000001</v>
      </c>
      <c r="U38" s="11">
        <v>3032.3690000000001</v>
      </c>
      <c r="V38" s="11">
        <v>11662.581</v>
      </c>
      <c r="W38" s="11">
        <v>4086.3</v>
      </c>
      <c r="X38" s="11">
        <v>1157.7049999999999</v>
      </c>
      <c r="Y38" s="10">
        <v>9961.5349999999999</v>
      </c>
      <c r="Z38" s="11">
        <v>5411.67</v>
      </c>
      <c r="AA38" s="11">
        <v>5238.8</v>
      </c>
      <c r="AB38" s="10">
        <v>255818.647</v>
      </c>
      <c r="AC38" s="10">
        <v>525955.54599999997</v>
      </c>
      <c r="AD38" s="10">
        <v>782120.20200000005</v>
      </c>
    </row>
    <row r="39" spans="1:30" x14ac:dyDescent="0.2">
      <c r="A39" s="9">
        <v>1995</v>
      </c>
      <c r="B39" s="10">
        <v>225815.43700000001</v>
      </c>
      <c r="C39" s="11">
        <v>38537.591</v>
      </c>
      <c r="D39" s="11">
        <v>125330.85799999999</v>
      </c>
      <c r="E39" s="11">
        <v>14221.091</v>
      </c>
      <c r="F39" s="11">
        <v>12471.037</v>
      </c>
      <c r="G39" s="11">
        <v>3759.6010000000001</v>
      </c>
      <c r="H39" s="11">
        <v>2446.3180000000002</v>
      </c>
      <c r="I39" s="11">
        <v>3692.248</v>
      </c>
      <c r="J39" s="11">
        <v>2511.2170000000001</v>
      </c>
      <c r="K39" s="11">
        <v>35178</v>
      </c>
      <c r="L39" s="11">
        <v>14786.819</v>
      </c>
      <c r="M39" s="11">
        <v>10863.273999999999</v>
      </c>
      <c r="N39" s="11">
        <v>7651.0039999999999</v>
      </c>
      <c r="O39" s="11">
        <v>999.97299999999996</v>
      </c>
      <c r="P39" s="11">
        <v>1867.5519999999999</v>
      </c>
      <c r="Q39" s="10">
        <v>6769.9690000000001</v>
      </c>
      <c r="R39" s="10">
        <v>3189.1350000000002</v>
      </c>
      <c r="S39" s="10">
        <v>6959.8429999999998</v>
      </c>
      <c r="T39" s="10">
        <v>20464.853999999999</v>
      </c>
      <c r="U39" s="11">
        <v>3102.9389999999999</v>
      </c>
      <c r="V39" s="11">
        <v>12348.914000000001</v>
      </c>
      <c r="W39" s="11">
        <v>4268.5929999999998</v>
      </c>
      <c r="X39" s="11">
        <v>1021.795</v>
      </c>
      <c r="Y39" s="10">
        <v>10458.914000000001</v>
      </c>
      <c r="Z39" s="11">
        <v>5806.6279999999997</v>
      </c>
      <c r="AA39" s="11">
        <v>4993.6989999999996</v>
      </c>
      <c r="AB39" s="10">
        <v>262846.712</v>
      </c>
      <c r="AC39" s="10">
        <v>531756.34600000002</v>
      </c>
      <c r="AD39" s="10">
        <v>794801.23499999999</v>
      </c>
    </row>
    <row r="40" spans="1:30" x14ac:dyDescent="0.2">
      <c r="A40" s="9">
        <v>1996</v>
      </c>
      <c r="B40" s="10">
        <v>231506.19</v>
      </c>
      <c r="C40" s="11">
        <v>39373.758999999998</v>
      </c>
      <c r="D40" s="11">
        <v>127851.912</v>
      </c>
      <c r="E40" s="11">
        <v>14248.992</v>
      </c>
      <c r="F40" s="11">
        <v>12654.971</v>
      </c>
      <c r="G40" s="11">
        <v>3811.55</v>
      </c>
      <c r="H40" s="11">
        <v>2499.0720000000001</v>
      </c>
      <c r="I40" s="11">
        <v>3754.761</v>
      </c>
      <c r="J40" s="11">
        <v>2532.4290000000001</v>
      </c>
      <c r="K40" s="11">
        <v>37210.648000000001</v>
      </c>
      <c r="L40" s="11">
        <v>15493.968000000001</v>
      </c>
      <c r="M40" s="11">
        <v>11908.597</v>
      </c>
      <c r="N40" s="11">
        <v>8070.25</v>
      </c>
      <c r="O40" s="11">
        <v>988.178</v>
      </c>
      <c r="P40" s="11">
        <v>1937.42</v>
      </c>
      <c r="Q40" s="10">
        <v>7138.0169999999998</v>
      </c>
      <c r="R40" s="10">
        <v>3366.3319999999999</v>
      </c>
      <c r="S40" s="10">
        <v>7425.2110000000002</v>
      </c>
      <c r="T40" s="10">
        <v>20838.764999999999</v>
      </c>
      <c r="U40" s="11">
        <v>3179.9140000000002</v>
      </c>
      <c r="V40" s="11">
        <v>12459.718000000001</v>
      </c>
      <c r="W40" s="11">
        <v>4399.4790000000003</v>
      </c>
      <c r="X40" s="11">
        <v>1043.4949999999999</v>
      </c>
      <c r="Y40" s="10">
        <v>10941.466</v>
      </c>
      <c r="Z40" s="11">
        <v>6138.7870000000003</v>
      </c>
      <c r="AA40" s="11">
        <v>5028.9920000000002</v>
      </c>
      <c r="AB40" s="10">
        <v>270676.109</v>
      </c>
      <c r="AC40" s="10">
        <v>538967.24100000004</v>
      </c>
      <c r="AD40" s="10">
        <v>809608.446</v>
      </c>
    </row>
    <row r="41" spans="1:30" x14ac:dyDescent="0.2">
      <c r="A41" s="9">
        <v>1997</v>
      </c>
      <c r="B41" s="10">
        <v>232463.459</v>
      </c>
      <c r="C41" s="11">
        <v>40051.478000000003</v>
      </c>
      <c r="D41" s="11">
        <v>129717.595</v>
      </c>
      <c r="E41" s="11">
        <v>14310.878000000001</v>
      </c>
      <c r="F41" s="11">
        <v>12786.976000000001</v>
      </c>
      <c r="G41" s="11">
        <v>3830.585</v>
      </c>
      <c r="H41" s="11">
        <v>2477.9850000000001</v>
      </c>
      <c r="I41" s="11">
        <v>3818.451</v>
      </c>
      <c r="J41" s="11">
        <v>2593.4589999999998</v>
      </c>
      <c r="K41" s="11">
        <v>35578.953000000001</v>
      </c>
      <c r="L41" s="11">
        <v>15126.03</v>
      </c>
      <c r="M41" s="11">
        <v>10833.936</v>
      </c>
      <c r="N41" s="11">
        <v>7616.18</v>
      </c>
      <c r="O41" s="11">
        <v>946.28499999999997</v>
      </c>
      <c r="P41" s="11">
        <v>1935.9069999999999</v>
      </c>
      <c r="Q41" s="10">
        <v>7461.1319999999996</v>
      </c>
      <c r="R41" s="10">
        <v>3618.002</v>
      </c>
      <c r="S41" s="10">
        <v>7610.8549999999996</v>
      </c>
      <c r="T41" s="10">
        <v>20831.562000000002</v>
      </c>
      <c r="U41" s="11">
        <v>3166.2640000000001</v>
      </c>
      <c r="V41" s="11">
        <v>11997.936</v>
      </c>
      <c r="W41" s="11">
        <v>4693.5709999999999</v>
      </c>
      <c r="X41" s="11">
        <v>1082.9459999999999</v>
      </c>
      <c r="Y41" s="10">
        <v>11440.018</v>
      </c>
      <c r="Z41" s="11">
        <v>6461.3389999999999</v>
      </c>
      <c r="AA41" s="11">
        <v>5131.9939999999997</v>
      </c>
      <c r="AB41" s="10">
        <v>273750.19400000002</v>
      </c>
      <c r="AC41" s="10">
        <v>541205.64899999998</v>
      </c>
      <c r="AD41" s="10">
        <v>814818.027</v>
      </c>
    </row>
    <row r="42" spans="1:30" x14ac:dyDescent="0.2">
      <c r="A42" s="9">
        <v>1998</v>
      </c>
      <c r="B42" s="10">
        <v>237045.15299999999</v>
      </c>
      <c r="C42" s="11">
        <v>40511.252</v>
      </c>
      <c r="D42" s="11">
        <v>131611.54199999999</v>
      </c>
      <c r="E42" s="11">
        <v>14447.887000000001</v>
      </c>
      <c r="F42" s="11">
        <v>13005.29</v>
      </c>
      <c r="G42" s="11">
        <v>3907.1179999999999</v>
      </c>
      <c r="H42" s="11">
        <v>2550.6489999999999</v>
      </c>
      <c r="I42" s="11">
        <v>3894.9090000000001</v>
      </c>
      <c r="J42" s="11">
        <v>2591.4740000000002</v>
      </c>
      <c r="K42" s="11">
        <v>37386.879000000001</v>
      </c>
      <c r="L42" s="11">
        <v>15811.535</v>
      </c>
      <c r="M42" s="11">
        <v>11777.92</v>
      </c>
      <c r="N42" s="11">
        <v>7882.5219999999999</v>
      </c>
      <c r="O42" s="11">
        <v>937.27700000000004</v>
      </c>
      <c r="P42" s="11">
        <v>1944.729</v>
      </c>
      <c r="Q42" s="10">
        <v>8634.4050000000007</v>
      </c>
      <c r="R42" s="10">
        <v>3819.6840000000002</v>
      </c>
      <c r="S42" s="10">
        <v>7685.4380000000001</v>
      </c>
      <c r="T42" s="10">
        <v>21293.530999999999</v>
      </c>
      <c r="U42" s="11">
        <v>3187.1950000000002</v>
      </c>
      <c r="V42" s="11">
        <v>12314.563</v>
      </c>
      <c r="W42" s="11">
        <v>4826.6409999999996</v>
      </c>
      <c r="X42" s="11">
        <v>1096.0630000000001</v>
      </c>
      <c r="Y42" s="10">
        <v>11885.178</v>
      </c>
      <c r="Z42" s="11">
        <v>6682.8670000000002</v>
      </c>
      <c r="AA42" s="11">
        <v>5402.4160000000002</v>
      </c>
      <c r="AB42" s="10">
        <v>281798.97200000001</v>
      </c>
      <c r="AC42" s="10">
        <v>565518.56299999997</v>
      </c>
      <c r="AD42" s="10">
        <v>847416.60199999996</v>
      </c>
    </row>
    <row r="43" spans="1:30" x14ac:dyDescent="0.2">
      <c r="A43" s="9">
        <v>1999</v>
      </c>
      <c r="B43" s="10">
        <v>240068.97700000001</v>
      </c>
      <c r="C43" s="11">
        <v>40600.504999999997</v>
      </c>
      <c r="D43" s="11">
        <v>133638.69500000001</v>
      </c>
      <c r="E43" s="11">
        <v>14730.266</v>
      </c>
      <c r="F43" s="11">
        <v>13302.567999999999</v>
      </c>
      <c r="G43" s="11">
        <v>3953.364</v>
      </c>
      <c r="H43" s="11">
        <v>2791.4670000000001</v>
      </c>
      <c r="I43" s="11">
        <v>3973.0390000000002</v>
      </c>
      <c r="J43" s="11">
        <v>2553.1709999999998</v>
      </c>
      <c r="K43" s="11">
        <v>37736.258000000002</v>
      </c>
      <c r="L43" s="11">
        <v>16127.748</v>
      </c>
      <c r="M43" s="11">
        <v>11834.768</v>
      </c>
      <c r="N43" s="11">
        <v>7669.69</v>
      </c>
      <c r="O43" s="11">
        <v>918.87199999999996</v>
      </c>
      <c r="P43" s="11">
        <v>1982.9090000000001</v>
      </c>
      <c r="Q43" s="10">
        <v>10820.052</v>
      </c>
      <c r="R43" s="10">
        <v>4236.0720000000001</v>
      </c>
      <c r="S43" s="10">
        <v>7962.116</v>
      </c>
      <c r="T43" s="10">
        <v>21127.442999999999</v>
      </c>
      <c r="U43" s="11">
        <v>3128.5819999999999</v>
      </c>
      <c r="V43" s="11">
        <v>12103.058000000001</v>
      </c>
      <c r="W43" s="11">
        <v>4926.5789999999997</v>
      </c>
      <c r="X43" s="11">
        <v>1082.675</v>
      </c>
      <c r="Y43" s="10">
        <v>12567.687</v>
      </c>
      <c r="Z43" s="11">
        <v>6925.0640000000003</v>
      </c>
      <c r="AA43" s="11">
        <v>5987.5889999999999</v>
      </c>
      <c r="AB43" s="10">
        <v>290459.641</v>
      </c>
      <c r="AC43" s="10">
        <v>586444.13699999999</v>
      </c>
      <c r="AD43" s="10">
        <v>877104.42200000002</v>
      </c>
    </row>
    <row r="44" spans="1:30" x14ac:dyDescent="0.2">
      <c r="A44" s="9">
        <v>2000</v>
      </c>
      <c r="B44" s="10">
        <v>244078.09099999999</v>
      </c>
      <c r="C44" s="11">
        <v>41564.726999999999</v>
      </c>
      <c r="D44" s="11">
        <v>135829.68100000001</v>
      </c>
      <c r="E44" s="11">
        <v>15528.451999999999</v>
      </c>
      <c r="F44" s="11">
        <v>13410.707</v>
      </c>
      <c r="G44" s="11">
        <v>3954.681</v>
      </c>
      <c r="H44" s="11">
        <v>2808.6309999999999</v>
      </c>
      <c r="I44" s="11">
        <v>3959.8310000000001</v>
      </c>
      <c r="J44" s="11">
        <v>2652.3879999999999</v>
      </c>
      <c r="K44" s="11">
        <v>37638.898000000001</v>
      </c>
      <c r="L44" s="11">
        <v>16353.797</v>
      </c>
      <c r="M44" s="11">
        <v>11502.566000000001</v>
      </c>
      <c r="N44" s="11">
        <v>7025.4309999999996</v>
      </c>
      <c r="O44" s="11">
        <v>1111.932</v>
      </c>
      <c r="P44" s="11">
        <v>2023.0419999999999</v>
      </c>
      <c r="Q44" s="10">
        <v>13925.375</v>
      </c>
      <c r="R44" s="10">
        <v>4531.2089999999998</v>
      </c>
      <c r="S44" s="10">
        <v>8113.3230000000003</v>
      </c>
      <c r="T44" s="10">
        <v>21377.1</v>
      </c>
      <c r="U44" s="11">
        <v>3210.2710000000002</v>
      </c>
      <c r="V44" s="11">
        <v>11891.625</v>
      </c>
      <c r="W44" s="11">
        <v>5186.3760000000002</v>
      </c>
      <c r="X44" s="11">
        <v>1123.3140000000001</v>
      </c>
      <c r="Y44" s="10">
        <v>13225.786</v>
      </c>
      <c r="Z44" s="11">
        <v>7182.7759999999998</v>
      </c>
      <c r="AA44" s="11">
        <v>6395.6509999999998</v>
      </c>
      <c r="AB44" s="10">
        <v>301098.092</v>
      </c>
      <c r="AC44" s="10">
        <v>607706.03300000005</v>
      </c>
      <c r="AD44" s="10">
        <v>909004.69200000004</v>
      </c>
    </row>
    <row r="45" spans="1:30" x14ac:dyDescent="0.2">
      <c r="A45" s="9">
        <v>2001</v>
      </c>
      <c r="B45" s="10">
        <v>249085.571</v>
      </c>
      <c r="C45" s="11">
        <v>41624.841999999997</v>
      </c>
      <c r="D45" s="11">
        <v>137983.701</v>
      </c>
      <c r="E45" s="11">
        <v>15566.466</v>
      </c>
      <c r="F45" s="11">
        <v>13716.359</v>
      </c>
      <c r="G45" s="11">
        <v>4023.6729999999998</v>
      </c>
      <c r="H45" s="11">
        <v>2970.2559999999999</v>
      </c>
      <c r="I45" s="11">
        <v>3949.556</v>
      </c>
      <c r="J45" s="11">
        <v>2751.489</v>
      </c>
      <c r="K45" s="11">
        <v>40095.252999999997</v>
      </c>
      <c r="L45" s="11">
        <v>17007.505000000001</v>
      </c>
      <c r="M45" s="11">
        <v>12250.989</v>
      </c>
      <c r="N45" s="11">
        <v>8268.9189999999999</v>
      </c>
      <c r="O45" s="11">
        <v>1149.4639999999999</v>
      </c>
      <c r="P45" s="11">
        <v>1988.3820000000001</v>
      </c>
      <c r="Q45" s="10">
        <v>16505.887999999999</v>
      </c>
      <c r="R45" s="10">
        <v>4965.7860000000001</v>
      </c>
      <c r="S45" s="10">
        <v>8417.1170000000002</v>
      </c>
      <c r="T45" s="10">
        <v>22065.9</v>
      </c>
      <c r="U45" s="11">
        <v>3359.848</v>
      </c>
      <c r="V45" s="11">
        <v>12019.725</v>
      </c>
      <c r="W45" s="11">
        <v>5494.5649999999996</v>
      </c>
      <c r="X45" s="11">
        <v>1186.5319999999999</v>
      </c>
      <c r="Y45" s="10">
        <v>13344.903</v>
      </c>
      <c r="Z45" s="11">
        <v>7387.1289999999999</v>
      </c>
      <c r="AA45" s="11">
        <v>6192.018</v>
      </c>
      <c r="AB45" s="10">
        <v>311281.90600000002</v>
      </c>
      <c r="AC45" s="10">
        <v>620381.446</v>
      </c>
      <c r="AD45" s="10">
        <v>931645.55900000001</v>
      </c>
    </row>
    <row r="46" spans="1:30" x14ac:dyDescent="0.2">
      <c r="A46" s="9">
        <v>2002</v>
      </c>
      <c r="B46" s="10">
        <v>250723.24299999999</v>
      </c>
      <c r="C46" s="11">
        <v>41947.686000000002</v>
      </c>
      <c r="D46" s="11">
        <v>140073.77100000001</v>
      </c>
      <c r="E46" s="11">
        <v>15741.465</v>
      </c>
      <c r="F46" s="11">
        <v>14132.393</v>
      </c>
      <c r="G46" s="11">
        <v>4055.9859999999999</v>
      </c>
      <c r="H46" s="11">
        <v>3247.623</v>
      </c>
      <c r="I46" s="11">
        <v>4096.8609999999999</v>
      </c>
      <c r="J46" s="11">
        <v>2740.277</v>
      </c>
      <c r="K46" s="11">
        <v>38722.432999999997</v>
      </c>
      <c r="L46" s="11">
        <v>16888.143</v>
      </c>
      <c r="M46" s="11">
        <v>11338.695</v>
      </c>
      <c r="N46" s="11">
        <v>7946.4390000000003</v>
      </c>
      <c r="O46" s="11">
        <v>983.55399999999997</v>
      </c>
      <c r="P46" s="11">
        <v>2027.1969999999999</v>
      </c>
      <c r="Q46" s="10">
        <v>19193.851999999999</v>
      </c>
      <c r="R46" s="10">
        <v>5053.2730000000001</v>
      </c>
      <c r="S46" s="10">
        <v>8880.9</v>
      </c>
      <c r="T46" s="10">
        <v>22995.775000000001</v>
      </c>
      <c r="U46" s="11">
        <v>3541.643</v>
      </c>
      <c r="V46" s="11">
        <v>12458.558999999999</v>
      </c>
      <c r="W46" s="11">
        <v>5736.56</v>
      </c>
      <c r="X46" s="11">
        <v>1241.982</v>
      </c>
      <c r="Y46" s="10">
        <v>13891.026</v>
      </c>
      <c r="Z46" s="11">
        <v>7659.7449999999999</v>
      </c>
      <c r="AA46" s="11">
        <v>6516.308</v>
      </c>
      <c r="AB46" s="10">
        <v>319085.76699999999</v>
      </c>
      <c r="AC46" s="10">
        <v>629845.83900000004</v>
      </c>
      <c r="AD46" s="10">
        <v>948758.85400000005</v>
      </c>
    </row>
    <row r="47" spans="1:30" x14ac:dyDescent="0.2">
      <c r="A47" s="9">
        <v>2003</v>
      </c>
      <c r="B47" s="10">
        <v>255899.315</v>
      </c>
      <c r="C47" s="11">
        <v>42755.205000000002</v>
      </c>
      <c r="D47" s="11">
        <v>142116.44399999999</v>
      </c>
      <c r="E47" s="11">
        <v>15425.148999999999</v>
      </c>
      <c r="F47" s="11">
        <v>14541.473</v>
      </c>
      <c r="G47" s="11">
        <v>4224.0910000000003</v>
      </c>
      <c r="H47" s="11">
        <v>3410.46</v>
      </c>
      <c r="I47" s="11">
        <v>4147.107</v>
      </c>
      <c r="J47" s="11">
        <v>2783.1329999999998</v>
      </c>
      <c r="K47" s="11">
        <v>41004.815000000002</v>
      </c>
      <c r="L47" s="11">
        <v>17878.048999999999</v>
      </c>
      <c r="M47" s="11">
        <v>12439.151</v>
      </c>
      <c r="N47" s="11">
        <v>8176.8649999999998</v>
      </c>
      <c r="O47" s="11">
        <v>891.65300000000002</v>
      </c>
      <c r="P47" s="11">
        <v>2049.1210000000001</v>
      </c>
      <c r="Q47" s="10">
        <v>20630.186000000002</v>
      </c>
      <c r="R47" s="10">
        <v>5343.5720000000001</v>
      </c>
      <c r="S47" s="10">
        <v>8841.4150000000009</v>
      </c>
      <c r="T47" s="10">
        <v>23633.317999999999</v>
      </c>
      <c r="U47" s="11">
        <v>3697.143</v>
      </c>
      <c r="V47" s="11">
        <v>12573.853999999999</v>
      </c>
      <c r="W47" s="11">
        <v>5854.0919999999996</v>
      </c>
      <c r="X47" s="11">
        <v>1481.713</v>
      </c>
      <c r="Y47" s="10">
        <v>13561.032999999999</v>
      </c>
      <c r="Z47" s="11">
        <v>7537.366</v>
      </c>
      <c r="AA47" s="11">
        <v>6262.2089999999998</v>
      </c>
      <c r="AB47" s="10">
        <v>326323.97700000001</v>
      </c>
      <c r="AC47" s="10">
        <v>638739.56000000006</v>
      </c>
      <c r="AD47" s="10">
        <v>964721.228</v>
      </c>
    </row>
    <row r="48" spans="1:30" x14ac:dyDescent="0.2">
      <c r="A48" s="9">
        <v>2004</v>
      </c>
      <c r="B48" s="10">
        <v>260159.15299999999</v>
      </c>
      <c r="C48" s="11">
        <v>43237.525000000001</v>
      </c>
      <c r="D48" s="11">
        <v>144044.755</v>
      </c>
      <c r="E48" s="11">
        <v>15632.466</v>
      </c>
      <c r="F48" s="11">
        <v>14774.998</v>
      </c>
      <c r="G48" s="11">
        <v>4182.268</v>
      </c>
      <c r="H48" s="11">
        <v>3540.6750000000002</v>
      </c>
      <c r="I48" s="11">
        <v>4138.6409999999996</v>
      </c>
      <c r="J48" s="11">
        <v>2948.8960000000002</v>
      </c>
      <c r="K48" s="11">
        <v>42449.065000000002</v>
      </c>
      <c r="L48" s="11">
        <v>18698.243999999999</v>
      </c>
      <c r="M48" s="11">
        <v>12990.284</v>
      </c>
      <c r="N48" s="11">
        <v>8127.7889999999998</v>
      </c>
      <c r="O48" s="11">
        <v>823.4</v>
      </c>
      <c r="P48" s="11">
        <v>2141.88</v>
      </c>
      <c r="Q48" s="10">
        <v>21746.481</v>
      </c>
      <c r="R48" s="10">
        <v>5443.5039999999999</v>
      </c>
      <c r="S48" s="10">
        <v>8992.3829999999998</v>
      </c>
      <c r="T48" s="10">
        <v>24006.871999999999</v>
      </c>
      <c r="U48" s="11">
        <v>3683.45</v>
      </c>
      <c r="V48" s="11">
        <v>12907.744000000001</v>
      </c>
      <c r="W48" s="11">
        <v>5856.3289999999997</v>
      </c>
      <c r="X48" s="11">
        <v>1544.4570000000001</v>
      </c>
      <c r="Y48" s="10">
        <v>14092.097</v>
      </c>
      <c r="Z48" s="11">
        <v>7869.9960000000001</v>
      </c>
      <c r="AA48" s="11">
        <v>6452.7030000000004</v>
      </c>
      <c r="AB48" s="10">
        <v>333237.364</v>
      </c>
      <c r="AC48" s="10">
        <v>652293.68400000001</v>
      </c>
      <c r="AD48" s="10">
        <v>985182.11199999996</v>
      </c>
    </row>
    <row r="49" spans="1:30" x14ac:dyDescent="0.2">
      <c r="A49" s="9">
        <v>2005</v>
      </c>
      <c r="B49" s="10">
        <v>263140.65999999997</v>
      </c>
      <c r="C49" s="11">
        <v>44181.466</v>
      </c>
      <c r="D49" s="11">
        <v>145855.10699999999</v>
      </c>
      <c r="E49" s="11">
        <v>15706.499</v>
      </c>
      <c r="F49" s="11">
        <v>14977.32</v>
      </c>
      <c r="G49" s="11">
        <v>4243.2439999999997</v>
      </c>
      <c r="H49" s="11">
        <v>3585.4760000000001</v>
      </c>
      <c r="I49" s="11">
        <v>4157.4639999999999</v>
      </c>
      <c r="J49" s="11">
        <v>3026.7310000000002</v>
      </c>
      <c r="K49" s="11">
        <v>42360.972000000002</v>
      </c>
      <c r="L49" s="11">
        <v>18945.223999999998</v>
      </c>
      <c r="M49" s="11">
        <v>12680.978999999999</v>
      </c>
      <c r="N49" s="11">
        <v>7965.24</v>
      </c>
      <c r="O49" s="11">
        <v>831.87599999999998</v>
      </c>
      <c r="P49" s="11">
        <v>2168.864</v>
      </c>
      <c r="Q49" s="10">
        <v>23072.453000000001</v>
      </c>
      <c r="R49" s="10">
        <v>5695.6970000000001</v>
      </c>
      <c r="S49" s="10">
        <v>9153.5329999999994</v>
      </c>
      <c r="T49" s="10">
        <v>24955.646000000001</v>
      </c>
      <c r="U49" s="11">
        <v>3709.6689999999999</v>
      </c>
      <c r="V49" s="11">
        <v>13475.419</v>
      </c>
      <c r="W49" s="11">
        <v>6179.6509999999998</v>
      </c>
      <c r="X49" s="11">
        <v>1594.1389999999999</v>
      </c>
      <c r="Y49" s="10">
        <v>14494.630999999999</v>
      </c>
      <c r="Z49" s="11">
        <v>8152.5659999999998</v>
      </c>
      <c r="AA49" s="11">
        <v>6553.4930000000004</v>
      </c>
      <c r="AB49" s="10">
        <v>339678.89299999998</v>
      </c>
      <c r="AC49" s="10">
        <v>671178.90300000005</v>
      </c>
      <c r="AD49" s="10">
        <v>1010654.966</v>
      </c>
    </row>
    <row r="50" spans="1:30" x14ac:dyDescent="0.2">
      <c r="A50" s="9">
        <v>2006</v>
      </c>
      <c r="B50" s="10">
        <v>266255.98499999999</v>
      </c>
      <c r="C50" s="11">
        <v>44742.542000000001</v>
      </c>
      <c r="D50" s="11">
        <v>147514.31099999999</v>
      </c>
      <c r="E50" s="11">
        <v>16319.612999999999</v>
      </c>
      <c r="F50" s="11">
        <v>15299.593999999999</v>
      </c>
      <c r="G50" s="11">
        <v>4449.57</v>
      </c>
      <c r="H50" s="11">
        <v>3594.663</v>
      </c>
      <c r="I50" s="11">
        <v>4173.2120000000004</v>
      </c>
      <c r="J50" s="11">
        <v>3114.21</v>
      </c>
      <c r="K50" s="11">
        <v>42318.595999999998</v>
      </c>
      <c r="L50" s="11">
        <v>19154.516</v>
      </c>
      <c r="M50" s="11">
        <v>12636.208000000001</v>
      </c>
      <c r="N50" s="11">
        <v>7617.7340000000004</v>
      </c>
      <c r="O50" s="11">
        <v>895.28200000000004</v>
      </c>
      <c r="P50" s="11">
        <v>2221.96</v>
      </c>
      <c r="Q50" s="10">
        <v>24712.816999999999</v>
      </c>
      <c r="R50" s="10">
        <v>5761.4219999999996</v>
      </c>
      <c r="S50" s="10">
        <v>9343.4310000000005</v>
      </c>
      <c r="T50" s="10">
        <v>25415.901000000002</v>
      </c>
      <c r="U50" s="11">
        <v>3755.9560000000001</v>
      </c>
      <c r="V50" s="11">
        <v>13868.751</v>
      </c>
      <c r="W50" s="11">
        <v>6180.7520000000004</v>
      </c>
      <c r="X50" s="11">
        <v>1613.354</v>
      </c>
      <c r="Y50" s="10">
        <v>14652.633</v>
      </c>
      <c r="Z50" s="11">
        <v>8297.17</v>
      </c>
      <c r="AA50" s="11">
        <v>6555.6210000000001</v>
      </c>
      <c r="AB50" s="10">
        <v>345682.11800000002</v>
      </c>
      <c r="AC50" s="10">
        <v>687425.93200000003</v>
      </c>
      <c r="AD50" s="10">
        <v>1032975.253</v>
      </c>
    </row>
    <row r="51" spans="1:30" x14ac:dyDescent="0.2">
      <c r="A51" s="9">
        <v>2007</v>
      </c>
      <c r="B51" s="10">
        <v>267768.51</v>
      </c>
      <c r="C51" s="11">
        <v>45412.665000000001</v>
      </c>
      <c r="D51" s="11">
        <v>149062.17499999999</v>
      </c>
      <c r="E51" s="11">
        <v>16990.654999999999</v>
      </c>
      <c r="F51" s="11">
        <v>15447.615</v>
      </c>
      <c r="G51" s="11">
        <v>4588.9070000000002</v>
      </c>
      <c r="H51" s="11">
        <v>3525.2249999999999</v>
      </c>
      <c r="I51" s="11">
        <v>4231.4880000000003</v>
      </c>
      <c r="J51" s="11">
        <v>3126.8820000000001</v>
      </c>
      <c r="K51" s="11">
        <v>40775.853000000003</v>
      </c>
      <c r="L51" s="11">
        <v>18845.744999999999</v>
      </c>
      <c r="M51" s="11">
        <v>11925.142</v>
      </c>
      <c r="N51" s="11">
        <v>7129.1350000000002</v>
      </c>
      <c r="O51" s="11">
        <v>951.43399999999997</v>
      </c>
      <c r="P51" s="11">
        <v>2085.498</v>
      </c>
      <c r="Q51" s="10">
        <v>26223.432000000001</v>
      </c>
      <c r="R51" s="10">
        <v>5810.1409999999996</v>
      </c>
      <c r="S51" s="10">
        <v>9654.0329999999994</v>
      </c>
      <c r="T51" s="10">
        <v>25585.107</v>
      </c>
      <c r="U51" s="11">
        <v>3834.145</v>
      </c>
      <c r="V51" s="11">
        <v>13734.415999999999</v>
      </c>
      <c r="W51" s="11">
        <v>6397.9750000000004</v>
      </c>
      <c r="X51" s="11">
        <v>1617.098</v>
      </c>
      <c r="Y51" s="10">
        <v>15221.364</v>
      </c>
      <c r="Z51" s="11">
        <v>8365.4279999999999</v>
      </c>
      <c r="AA51" s="11">
        <v>7194.0739999999996</v>
      </c>
      <c r="AB51" s="10">
        <v>350180.30200000003</v>
      </c>
      <c r="AC51" s="10">
        <v>708031.01</v>
      </c>
      <c r="AD51" s="10">
        <v>1058173.8899999999</v>
      </c>
    </row>
    <row r="52" spans="1:30" x14ac:dyDescent="0.2">
      <c r="A52" s="9">
        <v>2008</v>
      </c>
      <c r="B52" s="10">
        <v>271112.83</v>
      </c>
      <c r="C52" s="11">
        <v>45260.036</v>
      </c>
      <c r="D52" s="11">
        <v>150537.86600000001</v>
      </c>
      <c r="E52" s="11">
        <v>16976.633999999998</v>
      </c>
      <c r="F52" s="11">
        <v>15705.117</v>
      </c>
      <c r="G52" s="11">
        <v>4620.4309999999996</v>
      </c>
      <c r="H52" s="11">
        <v>3507.8420000000001</v>
      </c>
      <c r="I52" s="11">
        <v>4412.47</v>
      </c>
      <c r="J52" s="11">
        <v>3177.1819999999998</v>
      </c>
      <c r="K52" s="11">
        <v>42586.684999999998</v>
      </c>
      <c r="L52" s="11">
        <v>19881.865000000002</v>
      </c>
      <c r="M52" s="11">
        <v>12042.319</v>
      </c>
      <c r="N52" s="11">
        <v>7656.692</v>
      </c>
      <c r="O52" s="11">
        <v>1035.2809999999999</v>
      </c>
      <c r="P52" s="11">
        <v>2111.652</v>
      </c>
      <c r="Q52" s="10">
        <v>27532.608</v>
      </c>
      <c r="R52" s="10">
        <v>5937.3919999999998</v>
      </c>
      <c r="S52" s="10">
        <v>9975.4879999999994</v>
      </c>
      <c r="T52" s="10">
        <v>26753.958999999999</v>
      </c>
      <c r="U52" s="11">
        <v>3917.4</v>
      </c>
      <c r="V52" s="11">
        <v>14633.352999999999</v>
      </c>
      <c r="W52" s="11">
        <v>6560.1949999999997</v>
      </c>
      <c r="X52" s="11">
        <v>1641.366</v>
      </c>
      <c r="Y52" s="10">
        <v>15369.678</v>
      </c>
      <c r="Z52" s="11">
        <v>8500.3539999999994</v>
      </c>
      <c r="AA52" s="11">
        <v>7152.6450000000004</v>
      </c>
      <c r="AB52" s="10">
        <v>356620.70799999998</v>
      </c>
      <c r="AC52" s="10">
        <v>706529.28700000001</v>
      </c>
      <c r="AD52" s="10">
        <v>1063129.973</v>
      </c>
    </row>
    <row r="53" spans="1:30" x14ac:dyDescent="0.2">
      <c r="A53" s="9">
        <v>2009</v>
      </c>
      <c r="B53" s="10">
        <v>272246.337</v>
      </c>
      <c r="C53" s="11">
        <v>45854.173999999999</v>
      </c>
      <c r="D53" s="11">
        <v>152041.717</v>
      </c>
      <c r="E53" s="11">
        <v>16120.972</v>
      </c>
      <c r="F53" s="11">
        <v>15749.635</v>
      </c>
      <c r="G53" s="11">
        <v>4514.3919999999998</v>
      </c>
      <c r="H53" s="11">
        <v>3613.4070000000002</v>
      </c>
      <c r="I53" s="11">
        <v>4513.79</v>
      </c>
      <c r="J53" s="11">
        <v>3116.4009999999998</v>
      </c>
      <c r="K53" s="11">
        <v>42428.387999999999</v>
      </c>
      <c r="L53" s="11">
        <v>20310.473999999998</v>
      </c>
      <c r="M53" s="11">
        <v>12018.518</v>
      </c>
      <c r="N53" s="11">
        <v>7351.4260000000004</v>
      </c>
      <c r="O53" s="11">
        <v>1165.742</v>
      </c>
      <c r="P53" s="11">
        <v>1724</v>
      </c>
      <c r="Q53" s="10">
        <v>28781.592000000001</v>
      </c>
      <c r="R53" s="10">
        <v>5653.6980000000003</v>
      </c>
      <c r="S53" s="10">
        <v>9958.1020000000008</v>
      </c>
      <c r="T53" s="10">
        <v>27619.330999999998</v>
      </c>
      <c r="U53" s="11">
        <v>3990</v>
      </c>
      <c r="V53" s="11">
        <v>15513.92</v>
      </c>
      <c r="W53" s="11">
        <v>6439.2190000000001</v>
      </c>
      <c r="X53" s="11">
        <v>1682.0229999999999</v>
      </c>
      <c r="Y53" s="10">
        <v>15416.596</v>
      </c>
      <c r="Z53" s="11">
        <v>8658.6929999999993</v>
      </c>
      <c r="AA53" s="11">
        <v>6855.0050000000001</v>
      </c>
      <c r="AB53" s="10">
        <v>359626.033</v>
      </c>
      <c r="AC53" s="10">
        <v>704287.01300000004</v>
      </c>
      <c r="AD53" s="10">
        <v>1063916.054</v>
      </c>
    </row>
    <row r="54" spans="1:30" x14ac:dyDescent="0.2">
      <c r="A54" s="9">
        <v>2010</v>
      </c>
      <c r="B54" s="10">
        <v>276781.962</v>
      </c>
      <c r="C54" s="11">
        <v>46565.211000000003</v>
      </c>
      <c r="D54" s="11">
        <v>153572.96900000001</v>
      </c>
      <c r="E54" s="11">
        <v>16381.843000000001</v>
      </c>
      <c r="F54" s="11">
        <v>15480.281000000001</v>
      </c>
      <c r="G54" s="11">
        <v>4444</v>
      </c>
      <c r="H54" s="11">
        <v>3393</v>
      </c>
      <c r="I54" s="11">
        <v>4578</v>
      </c>
      <c r="J54" s="11">
        <v>3065.2809999999999</v>
      </c>
      <c r="K54" s="11">
        <v>44781.777999999998</v>
      </c>
      <c r="L54" s="11">
        <v>21874</v>
      </c>
      <c r="M54" s="11">
        <v>13075.402</v>
      </c>
      <c r="N54" s="11">
        <v>6855.5460000000003</v>
      </c>
      <c r="O54" s="11">
        <v>1263.83</v>
      </c>
      <c r="P54" s="11">
        <v>1713</v>
      </c>
      <c r="Q54" s="10">
        <v>30483.713</v>
      </c>
      <c r="R54" s="10">
        <v>5686.0479999999998</v>
      </c>
      <c r="S54" s="10">
        <v>10094.911</v>
      </c>
      <c r="T54" s="10">
        <v>27111</v>
      </c>
      <c r="U54" s="11">
        <v>3990</v>
      </c>
      <c r="V54" s="11">
        <v>15361</v>
      </c>
      <c r="W54" s="11">
        <v>6139</v>
      </c>
      <c r="X54" s="11">
        <v>1621</v>
      </c>
      <c r="Y54" s="10">
        <v>15415</v>
      </c>
      <c r="Z54" s="11">
        <v>8865</v>
      </c>
      <c r="AA54" s="11">
        <v>6550</v>
      </c>
      <c r="AB54" s="10">
        <v>365572.63299999997</v>
      </c>
      <c r="AC54" s="10">
        <v>716821.06700000004</v>
      </c>
      <c r="AD54" s="10">
        <v>1082393.7</v>
      </c>
    </row>
    <row r="55" spans="1:30" x14ac:dyDescent="0.2">
      <c r="A55" s="9">
        <v>2011</v>
      </c>
      <c r="B55" s="10">
        <v>274548.28200000001</v>
      </c>
      <c r="C55" s="11">
        <v>47253.254999999997</v>
      </c>
      <c r="D55" s="11">
        <v>155260.247</v>
      </c>
      <c r="E55" s="11">
        <v>16562.686000000002</v>
      </c>
      <c r="F55" s="11">
        <v>15315.291999999999</v>
      </c>
      <c r="G55" s="11">
        <v>4222</v>
      </c>
      <c r="H55" s="11">
        <v>3500</v>
      </c>
      <c r="I55" s="11">
        <v>4568</v>
      </c>
      <c r="J55" s="11">
        <v>3025.2919999999999</v>
      </c>
      <c r="K55" s="11">
        <v>40157.296000000002</v>
      </c>
      <c r="L55" s="11">
        <v>19305</v>
      </c>
      <c r="M55" s="11">
        <v>11401.587</v>
      </c>
      <c r="N55" s="11">
        <v>6244.7039999999997</v>
      </c>
      <c r="O55" s="11">
        <v>1454.0050000000001</v>
      </c>
      <c r="P55" s="11">
        <v>1752</v>
      </c>
      <c r="Q55" s="10">
        <v>31329.019</v>
      </c>
      <c r="R55" s="10">
        <v>5654.2139999999999</v>
      </c>
      <c r="S55" s="10">
        <v>10266.203</v>
      </c>
      <c r="T55" s="10">
        <v>27220</v>
      </c>
      <c r="U55" s="11">
        <v>4088</v>
      </c>
      <c r="V55" s="11">
        <v>14979</v>
      </c>
      <c r="W55" s="11">
        <v>6509</v>
      </c>
      <c r="X55" s="11">
        <v>1644</v>
      </c>
      <c r="Y55" s="10">
        <v>15584</v>
      </c>
      <c r="Z55" s="11">
        <v>8991</v>
      </c>
      <c r="AA55" s="11">
        <v>6593</v>
      </c>
      <c r="AB55" s="10">
        <v>364601.717</v>
      </c>
      <c r="AC55" s="10">
        <v>722528.28300000005</v>
      </c>
      <c r="AD55" s="10">
        <v>1087130</v>
      </c>
    </row>
    <row r="56" spans="1:30" x14ac:dyDescent="0.2">
      <c r="A56" s="9">
        <v>2012</v>
      </c>
      <c r="B56" s="10">
        <v>279651.49</v>
      </c>
      <c r="C56" s="11">
        <v>48107.576000000001</v>
      </c>
      <c r="D56" s="11">
        <v>156875.595</v>
      </c>
      <c r="E56" s="11">
        <v>16384.028999999999</v>
      </c>
      <c r="F56" s="11">
        <v>15111.814</v>
      </c>
      <c r="G56" s="11">
        <v>4151.7470000000003</v>
      </c>
      <c r="H56" s="11">
        <v>3513.25</v>
      </c>
      <c r="I56" s="11">
        <v>4490.2349999999997</v>
      </c>
      <c r="J56" s="11">
        <v>2954.7109999999998</v>
      </c>
      <c r="K56" s="11">
        <v>43003.788999999997</v>
      </c>
      <c r="L56" s="11">
        <v>20967.897000000001</v>
      </c>
      <c r="M56" s="11">
        <v>12514.674000000001</v>
      </c>
      <c r="N56" s="11">
        <v>6380.52</v>
      </c>
      <c r="O56" s="11">
        <v>1419.96</v>
      </c>
      <c r="P56" s="11">
        <v>1749.1120000000001</v>
      </c>
      <c r="Q56" s="10">
        <v>33963.968000000001</v>
      </c>
      <c r="R56" s="10">
        <v>5541.5159999999996</v>
      </c>
      <c r="S56" s="10">
        <v>10431.576999999999</v>
      </c>
      <c r="T56" s="10">
        <v>27587.026999999998</v>
      </c>
      <c r="U56" s="11">
        <v>4233.3909999999996</v>
      </c>
      <c r="V56" s="11">
        <v>14996.637000000001</v>
      </c>
      <c r="W56" s="11">
        <v>6768.2169999999996</v>
      </c>
      <c r="X56" s="11">
        <v>1580.3869999999999</v>
      </c>
      <c r="Y56" s="10">
        <v>15828.42</v>
      </c>
      <c r="Z56" s="11">
        <v>9177.8230000000003</v>
      </c>
      <c r="AA56" s="11">
        <v>6650.21</v>
      </c>
      <c r="AB56" s="10">
        <v>372858.32199999999</v>
      </c>
      <c r="AC56" s="10">
        <v>711608.28599999996</v>
      </c>
      <c r="AD56" s="10">
        <v>1084401.57</v>
      </c>
    </row>
    <row r="57" spans="1:30" x14ac:dyDescent="0.2">
      <c r="A57" s="9">
        <v>2013</v>
      </c>
      <c r="B57" s="10">
        <v>282116.41899999999</v>
      </c>
      <c r="C57" s="11">
        <v>48642.154000000002</v>
      </c>
      <c r="D57" s="11">
        <v>158363.65700000001</v>
      </c>
      <c r="E57" s="11">
        <v>16148.960999999999</v>
      </c>
      <c r="F57" s="11">
        <v>14977.011</v>
      </c>
      <c r="G57" s="11">
        <v>4056.1729999999998</v>
      </c>
      <c r="H57" s="11">
        <v>3508.6689999999999</v>
      </c>
      <c r="I57" s="11">
        <v>4500.3019999999997</v>
      </c>
      <c r="J57" s="11">
        <v>2906.442</v>
      </c>
      <c r="K57" s="11">
        <v>43786.862000000001</v>
      </c>
      <c r="L57" s="11">
        <v>22023.487000000001</v>
      </c>
      <c r="M57" s="11">
        <v>12519.736999999999</v>
      </c>
      <c r="N57" s="11">
        <v>6094.0360000000001</v>
      </c>
      <c r="O57" s="11">
        <v>1644.1179999999999</v>
      </c>
      <c r="P57" s="11">
        <v>1655.2</v>
      </c>
      <c r="Q57" s="10">
        <v>37695.731</v>
      </c>
      <c r="R57" s="10">
        <v>5582.701</v>
      </c>
      <c r="S57" s="10">
        <v>10648.239</v>
      </c>
      <c r="T57" s="10">
        <v>28889.439999999999</v>
      </c>
      <c r="U57" s="11">
        <v>4145.0190000000002</v>
      </c>
      <c r="V57" s="11">
        <v>15768.710999999999</v>
      </c>
      <c r="W57" s="11">
        <v>7242.7690000000002</v>
      </c>
      <c r="X57" s="11">
        <v>1726.55</v>
      </c>
      <c r="Y57" s="10">
        <v>15843.26</v>
      </c>
      <c r="Z57" s="11">
        <v>9236.6980000000003</v>
      </c>
      <c r="AA57" s="11">
        <v>6619.1480000000001</v>
      </c>
      <c r="AB57" s="10">
        <v>379880.853</v>
      </c>
      <c r="AC57" s="10">
        <v>709835.91399999999</v>
      </c>
      <c r="AD57" s="10">
        <v>1089530.862</v>
      </c>
    </row>
    <row r="58" spans="1:30" x14ac:dyDescent="0.2">
      <c r="A58" s="9">
        <v>2014</v>
      </c>
      <c r="B58" s="10">
        <v>278634.89600000001</v>
      </c>
      <c r="C58" s="11">
        <v>49428.006000000001</v>
      </c>
      <c r="D58" s="11">
        <v>160148.86499999999</v>
      </c>
      <c r="E58" s="11">
        <v>16114.675999999999</v>
      </c>
      <c r="F58" s="11">
        <v>14830.053</v>
      </c>
      <c r="G58" s="11">
        <v>4043.085</v>
      </c>
      <c r="H58" s="11">
        <v>3486.3719999999998</v>
      </c>
      <c r="I58" s="11">
        <v>4458.6239999999998</v>
      </c>
      <c r="J58" s="11">
        <v>2835.277</v>
      </c>
      <c r="K58" s="11">
        <v>38662.730000000003</v>
      </c>
      <c r="L58" s="11">
        <v>19710.938999999998</v>
      </c>
      <c r="M58" s="11">
        <v>10418.41</v>
      </c>
      <c r="N58" s="11">
        <v>5420.2470000000003</v>
      </c>
      <c r="O58" s="11">
        <v>1753.3820000000001</v>
      </c>
      <c r="P58" s="11">
        <v>1557.6859999999999</v>
      </c>
      <c r="Q58" s="10">
        <v>38434.917000000001</v>
      </c>
      <c r="R58" s="10">
        <v>5747.54</v>
      </c>
      <c r="S58" s="10">
        <v>10721.263999999999</v>
      </c>
      <c r="T58" s="10">
        <v>28688.268</v>
      </c>
      <c r="U58" s="11">
        <v>4247.54</v>
      </c>
      <c r="V58" s="11">
        <v>15417.645</v>
      </c>
      <c r="W58" s="11">
        <v>7308.31</v>
      </c>
      <c r="X58" s="11">
        <v>1686.1679999999999</v>
      </c>
      <c r="Y58" s="10">
        <v>16815.866999999998</v>
      </c>
      <c r="Z58" s="11">
        <v>10130.227999999999</v>
      </c>
      <c r="AA58" s="11">
        <v>6820.6549999999997</v>
      </c>
      <c r="AB58" s="10">
        <v>377534.61599999998</v>
      </c>
      <c r="AC58" s="10">
        <v>719696.79599999997</v>
      </c>
      <c r="AD58" s="10">
        <v>1097195.4750000001</v>
      </c>
    </row>
    <row r="59" spans="1:30" x14ac:dyDescent="0.2">
      <c r="A59" s="9">
        <v>2015</v>
      </c>
      <c r="B59" s="10">
        <v>281794.39600000001</v>
      </c>
      <c r="C59" s="11">
        <v>50165.106</v>
      </c>
      <c r="D59" s="11">
        <v>161883.91</v>
      </c>
      <c r="E59" s="11">
        <v>15974.315000000001</v>
      </c>
      <c r="F59" s="11">
        <v>14784.01</v>
      </c>
      <c r="G59" s="11">
        <v>4026.6460000000002</v>
      </c>
      <c r="H59" s="11">
        <v>3525.6129999999998</v>
      </c>
      <c r="I59" s="11">
        <v>4440.4719999999998</v>
      </c>
      <c r="J59" s="11">
        <v>2781.4810000000002</v>
      </c>
      <c r="K59" s="11">
        <v>39507.124000000003</v>
      </c>
      <c r="L59" s="11">
        <v>20385.633000000002</v>
      </c>
      <c r="M59" s="11">
        <v>10608.337</v>
      </c>
      <c r="N59" s="11">
        <v>5444.5150000000003</v>
      </c>
      <c r="O59" s="11">
        <v>1777.0360000000001</v>
      </c>
      <c r="P59" s="11">
        <v>1489.46</v>
      </c>
      <c r="Q59" s="10">
        <v>38764.322999999997</v>
      </c>
      <c r="R59" s="10">
        <v>5756.5510000000004</v>
      </c>
      <c r="S59" s="10">
        <v>10486.334000000001</v>
      </c>
      <c r="T59" s="10">
        <v>28618.195</v>
      </c>
      <c r="U59" s="11">
        <v>4262.9610000000002</v>
      </c>
      <c r="V59" s="11">
        <v>15489.145</v>
      </c>
      <c r="W59" s="11">
        <v>7216.92</v>
      </c>
      <c r="X59" s="11">
        <v>1625.5709999999999</v>
      </c>
      <c r="Y59" s="10">
        <v>17033.067999999999</v>
      </c>
      <c r="Z59" s="11">
        <v>10254.618</v>
      </c>
      <c r="AA59" s="11">
        <v>6911.9440000000004</v>
      </c>
      <c r="AB59" s="10">
        <v>380922.68900000001</v>
      </c>
      <c r="AC59" s="10">
        <v>731622.69900000002</v>
      </c>
      <c r="AD59" s="10">
        <v>1112550.4990000001</v>
      </c>
    </row>
    <row r="60" spans="1:30" x14ac:dyDescent="0.2">
      <c r="A60" s="9">
        <v>2016</v>
      </c>
      <c r="B60" s="10">
        <v>285328.18699999998</v>
      </c>
      <c r="C60" s="11">
        <v>50689.355000000003</v>
      </c>
      <c r="D60" s="11">
        <v>163655.85399999999</v>
      </c>
      <c r="E60" s="11">
        <v>16048.397999999999</v>
      </c>
      <c r="F60" s="11">
        <v>14912.609</v>
      </c>
      <c r="G60" s="11">
        <v>4065.529</v>
      </c>
      <c r="H60" s="11">
        <v>3548.7350000000001</v>
      </c>
      <c r="I60" s="11">
        <v>4570.7749999999996</v>
      </c>
      <c r="J60" s="11">
        <v>2709.67</v>
      </c>
      <c r="K60" s="11">
        <v>40483.061000000002</v>
      </c>
      <c r="L60" s="11">
        <v>20973.02</v>
      </c>
      <c r="M60" s="11">
        <v>11138.154</v>
      </c>
      <c r="N60" s="11">
        <v>5235.9880000000003</v>
      </c>
      <c r="O60" s="11">
        <v>1934.8420000000001</v>
      </c>
      <c r="P60" s="11">
        <v>1355.7190000000001</v>
      </c>
      <c r="Q60" s="10">
        <v>39191.161999999997</v>
      </c>
      <c r="R60" s="10">
        <v>6042.223</v>
      </c>
      <c r="S60" s="10">
        <v>10509.655000000001</v>
      </c>
      <c r="T60" s="10">
        <v>29369.072</v>
      </c>
      <c r="U60" s="11">
        <v>4701.9920000000002</v>
      </c>
      <c r="V60" s="11">
        <v>16128.636</v>
      </c>
      <c r="W60" s="11">
        <v>6913.72</v>
      </c>
      <c r="X60" s="11">
        <v>1574.21</v>
      </c>
      <c r="Y60" s="10">
        <v>16639.786</v>
      </c>
      <c r="Z60" s="11">
        <v>10474.023999999999</v>
      </c>
      <c r="AA60" s="11">
        <v>6473.473</v>
      </c>
      <c r="AB60" s="10">
        <v>385699.26899999997</v>
      </c>
      <c r="AC60" s="10">
        <v>751833.06499999994</v>
      </c>
      <c r="AD60" s="10">
        <v>1137587.8030000001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9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B1" sqref="B1:P2"/>
    </sheetView>
  </sheetViews>
  <sheetFormatPr baseColWidth="10" defaultRowHeight="12.75" x14ac:dyDescent="0.2"/>
  <cols>
    <col min="1" max="1" width="11" style="1"/>
    <col min="2" max="2" width="8.25" style="1" bestFit="1" customWidth="1"/>
    <col min="3" max="3" width="10.75" style="1" bestFit="1" customWidth="1"/>
    <col min="4" max="5" width="9.875" style="1" bestFit="1" customWidth="1"/>
    <col min="6" max="6" width="7.875" style="1" bestFit="1" customWidth="1"/>
    <col min="7" max="7" width="9.75" style="1" bestFit="1" customWidth="1"/>
    <col min="8" max="8" width="8.75" style="1" bestFit="1" customWidth="1"/>
    <col min="9" max="16384" width="11" style="1"/>
  </cols>
  <sheetData>
    <row r="1" spans="1:16" s="2" customFormat="1" ht="37.5" customHeight="1" x14ac:dyDescent="0.2">
      <c r="B1" s="2" t="s">
        <v>56</v>
      </c>
      <c r="C1" s="2" t="s">
        <v>57</v>
      </c>
      <c r="D1" s="2" t="s">
        <v>58</v>
      </c>
      <c r="E1" s="2" t="s">
        <v>43</v>
      </c>
      <c r="F1" s="2" t="s">
        <v>44</v>
      </c>
      <c r="G1" s="2" t="s">
        <v>59</v>
      </c>
      <c r="H1" s="2" t="s">
        <v>50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</row>
    <row r="2" spans="1:16" x14ac:dyDescent="0.2">
      <c r="A2" s="9">
        <v>1959</v>
      </c>
      <c r="B2" s="11">
        <v>8160.607</v>
      </c>
      <c r="C2" s="12">
        <f>dep_pre_eng_2010!C3+dep_pre_eng_2010!E3+dep_pre_eng_2010!F3</f>
        <v>19323.207999999999</v>
      </c>
      <c r="D2" s="13">
        <f>dep_pre_eng_2010!Q3</f>
        <v>194.584</v>
      </c>
      <c r="E2" s="13">
        <f>dep_pre_eng_2010!R3</f>
        <v>208.87700000000001</v>
      </c>
      <c r="F2" s="13">
        <f>dep_pre_eng_2010!S3</f>
        <v>3087.893</v>
      </c>
      <c r="G2" s="13">
        <f>dep_pre_eng_2010!T3</f>
        <v>13066.736999999999</v>
      </c>
      <c r="H2" s="13">
        <f>dep_pre_eng_2010!Y3</f>
        <v>1835.646</v>
      </c>
      <c r="I2" s="13">
        <f>SUM(B2:H2)</f>
        <v>45877.551999999996</v>
      </c>
      <c r="J2" s="14">
        <f>B2/$I2</f>
        <v>0.17787799575705349</v>
      </c>
      <c r="K2" s="14">
        <f t="shared" ref="K2:P2" si="0">C2/$I2</f>
        <v>0.42119091271478482</v>
      </c>
      <c r="L2" s="14">
        <f t="shared" si="0"/>
        <v>4.2413771336360755E-3</v>
      </c>
      <c r="M2" s="14">
        <f t="shared" si="0"/>
        <v>4.5529238351688867E-3</v>
      </c>
      <c r="N2" s="14">
        <f t="shared" si="0"/>
        <v>6.7307274808385595E-2</v>
      </c>
      <c r="O2" s="14">
        <f t="shared" si="0"/>
        <v>0.28481765984375101</v>
      </c>
      <c r="P2" s="14">
        <f t="shared" si="0"/>
        <v>4.0011855907220159E-2</v>
      </c>
    </row>
    <row r="3" spans="1:16" x14ac:dyDescent="0.2">
      <c r="A3" s="9">
        <v>1960</v>
      </c>
      <c r="B3" s="11">
        <v>8687.4629999999997</v>
      </c>
      <c r="C3" s="12">
        <f>dep_pre_eng_2010!C4+dep_pre_eng_2010!E4+dep_pre_eng_2010!F4</f>
        <v>20539.226999999999</v>
      </c>
      <c r="D3" s="13">
        <f>dep_pre_eng_2010!Q4</f>
        <v>212.29599999999999</v>
      </c>
      <c r="E3" s="13">
        <f>dep_pre_eng_2010!R4</f>
        <v>243.03700000000001</v>
      </c>
      <c r="F3" s="13">
        <f>dep_pre_eng_2010!S4</f>
        <v>3209.6770000000001</v>
      </c>
      <c r="G3" s="13">
        <f>dep_pre_eng_2010!T4</f>
        <v>13482.103999999999</v>
      </c>
      <c r="H3" s="13">
        <f>dep_pre_eng_2010!Y4</f>
        <v>1824.152</v>
      </c>
      <c r="I3" s="13">
        <f t="shared" ref="I3:I59" si="1">SUM(B3:H3)</f>
        <v>48197.955999999998</v>
      </c>
      <c r="J3" s="14">
        <f t="shared" ref="J3:J40" si="2">B3/$I3</f>
        <v>0.18024546518113757</v>
      </c>
      <c r="K3" s="14">
        <f t="shared" ref="K3:K41" si="3">C3/$I3</f>
        <v>0.42614311279092415</v>
      </c>
      <c r="L3" s="14">
        <f t="shared" ref="L3:L41" si="4">D3/$I3</f>
        <v>4.4046681149715146E-3</v>
      </c>
      <c r="M3" s="14">
        <f t="shared" ref="M3:M41" si="5">E3/$I3</f>
        <v>5.0424752452157932E-3</v>
      </c>
      <c r="N3" s="14">
        <f t="shared" ref="N3:N41" si="6">F3/$I3</f>
        <v>6.6593633140791281E-2</v>
      </c>
      <c r="O3" s="14">
        <f t="shared" ref="O3:O41" si="7">G3/$I3</f>
        <v>0.27972356338098653</v>
      </c>
      <c r="P3" s="14">
        <f t="shared" ref="P3:P41" si="8">H3/$I3</f>
        <v>3.7847082145973161E-2</v>
      </c>
    </row>
    <row r="4" spans="1:16" x14ac:dyDescent="0.2">
      <c r="A4" s="9">
        <v>1961</v>
      </c>
      <c r="B4" s="11">
        <v>9109.4110000000001</v>
      </c>
      <c r="C4" s="12">
        <f>dep_pre_eng_2010!C5+dep_pre_eng_2010!E5+dep_pre_eng_2010!F5</f>
        <v>22090.557000000001</v>
      </c>
      <c r="D4" s="13">
        <f>dep_pre_eng_2010!Q5</f>
        <v>231.95500000000001</v>
      </c>
      <c r="E4" s="13">
        <f>dep_pre_eng_2010!R5</f>
        <v>274.68</v>
      </c>
      <c r="F4" s="13">
        <f>dep_pre_eng_2010!S5</f>
        <v>3397.5949999999998</v>
      </c>
      <c r="G4" s="13">
        <f>dep_pre_eng_2010!T5</f>
        <v>13785.950999999999</v>
      </c>
      <c r="H4" s="13">
        <f>dep_pre_eng_2010!Y5</f>
        <v>1871.41</v>
      </c>
      <c r="I4" s="13">
        <f t="shared" si="1"/>
        <v>50761.559000000008</v>
      </c>
      <c r="J4" s="14">
        <f t="shared" si="2"/>
        <v>0.17945490996444768</v>
      </c>
      <c r="K4" s="14">
        <f t="shared" si="3"/>
        <v>0.43518279255371167</v>
      </c>
      <c r="L4" s="14">
        <f t="shared" si="4"/>
        <v>4.569501106142149E-3</v>
      </c>
      <c r="M4" s="14">
        <f t="shared" si="5"/>
        <v>5.411181323252896E-3</v>
      </c>
      <c r="N4" s="14">
        <f t="shared" si="6"/>
        <v>6.6932439959143081E-2</v>
      </c>
      <c r="O4" s="14">
        <f t="shared" si="7"/>
        <v>0.27158249808679036</v>
      </c>
      <c r="P4" s="14">
        <f t="shared" si="8"/>
        <v>3.6866677006511951E-2</v>
      </c>
    </row>
    <row r="5" spans="1:16" x14ac:dyDescent="0.2">
      <c r="A5" s="9">
        <v>1962</v>
      </c>
      <c r="B5" s="11">
        <v>10355.755999999999</v>
      </c>
      <c r="C5" s="12">
        <f>dep_pre_eng_2010!C6+dep_pre_eng_2010!E6+dep_pre_eng_2010!F6</f>
        <v>23905.004000000001</v>
      </c>
      <c r="D5" s="13">
        <f>dep_pre_eng_2010!Q6</f>
        <v>254.227</v>
      </c>
      <c r="E5" s="13">
        <f>dep_pre_eng_2010!R6</f>
        <v>316.21800000000002</v>
      </c>
      <c r="F5" s="13">
        <f>dep_pre_eng_2010!S6</f>
        <v>3534.1590000000001</v>
      </c>
      <c r="G5" s="13">
        <f>dep_pre_eng_2010!T6</f>
        <v>13879.598</v>
      </c>
      <c r="H5" s="13">
        <f>dep_pre_eng_2010!Y6</f>
        <v>1885.7729999999999</v>
      </c>
      <c r="I5" s="13">
        <f t="shared" si="1"/>
        <v>54130.735000000001</v>
      </c>
      <c r="J5" s="14">
        <f t="shared" si="2"/>
        <v>0.19131009397895668</v>
      </c>
      <c r="K5" s="14">
        <f t="shared" si="3"/>
        <v>0.44161609850669864</v>
      </c>
      <c r="L5" s="14">
        <f t="shared" si="4"/>
        <v>4.6965370043469757E-3</v>
      </c>
      <c r="M5" s="14">
        <f t="shared" si="5"/>
        <v>5.8417459138509764E-3</v>
      </c>
      <c r="N5" s="14">
        <f t="shared" si="6"/>
        <v>6.5289322230706826E-2</v>
      </c>
      <c r="O5" s="14">
        <f t="shared" si="7"/>
        <v>0.25640882208601085</v>
      </c>
      <c r="P5" s="14">
        <f t="shared" si="8"/>
        <v>3.483738027942905E-2</v>
      </c>
    </row>
    <row r="6" spans="1:16" x14ac:dyDescent="0.2">
      <c r="A6" s="9">
        <v>1963</v>
      </c>
      <c r="B6" s="11">
        <v>11925.061</v>
      </c>
      <c r="C6" s="12">
        <f>dep_pre_eng_2010!C7+dep_pre_eng_2010!E7+dep_pre_eng_2010!F7</f>
        <v>25719.871999999999</v>
      </c>
      <c r="D6" s="13">
        <f>dep_pre_eng_2010!Q7</f>
        <v>276.62700000000001</v>
      </c>
      <c r="E6" s="13">
        <f>dep_pre_eng_2010!R7</f>
        <v>346.35700000000003</v>
      </c>
      <c r="F6" s="13">
        <f>dep_pre_eng_2010!S7</f>
        <v>3796.3180000000002</v>
      </c>
      <c r="G6" s="13">
        <f>dep_pre_eng_2010!T7</f>
        <v>14775.304</v>
      </c>
      <c r="H6" s="13">
        <f>dep_pre_eng_2010!Y7</f>
        <v>2117.2420000000002</v>
      </c>
      <c r="I6" s="13">
        <f t="shared" si="1"/>
        <v>58956.781000000003</v>
      </c>
      <c r="J6" s="14">
        <f t="shared" si="2"/>
        <v>0.20226784430445752</v>
      </c>
      <c r="K6" s="14">
        <f t="shared" si="3"/>
        <v>0.43624959781979955</v>
      </c>
      <c r="L6" s="14">
        <f t="shared" si="4"/>
        <v>4.6920302517873217E-3</v>
      </c>
      <c r="M6" s="14">
        <f t="shared" si="5"/>
        <v>5.8747610389379978E-3</v>
      </c>
      <c r="N6" s="14">
        <f t="shared" si="6"/>
        <v>6.4391541322447704E-2</v>
      </c>
      <c r="O6" s="14">
        <f t="shared" si="7"/>
        <v>0.25061246135537824</v>
      </c>
      <c r="P6" s="14">
        <f t="shared" si="8"/>
        <v>3.5911763907191613E-2</v>
      </c>
    </row>
    <row r="7" spans="1:16" x14ac:dyDescent="0.2">
      <c r="A7" s="9">
        <v>1964</v>
      </c>
      <c r="B7" s="11">
        <v>11815.562</v>
      </c>
      <c r="C7" s="12">
        <f>dep_pre_eng_2010!C8+dep_pre_eng_2010!E8+dep_pre_eng_2010!F8</f>
        <v>27439.956000000002</v>
      </c>
      <c r="D7" s="13">
        <f>dep_pre_eng_2010!Q8</f>
        <v>297.31799999999998</v>
      </c>
      <c r="E7" s="13">
        <f>dep_pre_eng_2010!R8</f>
        <v>384.37099999999998</v>
      </c>
      <c r="F7" s="13">
        <f>dep_pre_eng_2010!S8</f>
        <v>4086.4459999999999</v>
      </c>
      <c r="G7" s="13">
        <f>dep_pre_eng_2010!T8</f>
        <v>15669.989</v>
      </c>
      <c r="H7" s="13">
        <f>dep_pre_eng_2010!Y8</f>
        <v>2409.1460000000002</v>
      </c>
      <c r="I7" s="13">
        <f t="shared" si="1"/>
        <v>62102.788000000008</v>
      </c>
      <c r="J7" s="14">
        <f t="shared" si="2"/>
        <v>0.19025815717001301</v>
      </c>
      <c r="K7" s="14">
        <f t="shared" si="3"/>
        <v>0.44184740949150297</v>
      </c>
      <c r="L7" s="14">
        <f t="shared" si="4"/>
        <v>4.7875145315537191E-3</v>
      </c>
      <c r="M7" s="14">
        <f t="shared" si="5"/>
        <v>6.1892712449560221E-3</v>
      </c>
      <c r="N7" s="14">
        <f t="shared" si="6"/>
        <v>6.5801329241450476E-2</v>
      </c>
      <c r="O7" s="14">
        <f t="shared" si="7"/>
        <v>0.25232343836157561</v>
      </c>
      <c r="P7" s="14">
        <f t="shared" si="8"/>
        <v>3.8792879958948055E-2</v>
      </c>
    </row>
    <row r="8" spans="1:16" x14ac:dyDescent="0.2">
      <c r="A8" s="9">
        <v>1965</v>
      </c>
      <c r="B8" s="11">
        <v>12702.928</v>
      </c>
      <c r="C8" s="12">
        <f>dep_pre_eng_2010!C9+dep_pre_eng_2010!E9+dep_pre_eng_2010!F9</f>
        <v>29045.149000000001</v>
      </c>
      <c r="D8" s="13">
        <f>dep_pre_eng_2010!Q9</f>
        <v>311.82299999999998</v>
      </c>
      <c r="E8" s="13">
        <f>dep_pre_eng_2010!R9</f>
        <v>426.91399999999999</v>
      </c>
      <c r="F8" s="13">
        <f>dep_pre_eng_2010!S9</f>
        <v>4336.29</v>
      </c>
      <c r="G8" s="13">
        <f>dep_pre_eng_2010!T9</f>
        <v>16547.468000000001</v>
      </c>
      <c r="H8" s="13">
        <f>dep_pre_eng_2010!Y9</f>
        <v>2359.768</v>
      </c>
      <c r="I8" s="13">
        <f t="shared" si="1"/>
        <v>65730.34</v>
      </c>
      <c r="J8" s="14">
        <f t="shared" si="2"/>
        <v>0.19325821226544698</v>
      </c>
      <c r="K8" s="14">
        <f t="shared" si="3"/>
        <v>0.44188344377953931</v>
      </c>
      <c r="L8" s="14">
        <f t="shared" si="4"/>
        <v>4.7439736353105735E-3</v>
      </c>
      <c r="M8" s="14">
        <f t="shared" si="5"/>
        <v>6.4949306515073562E-3</v>
      </c>
      <c r="N8" s="14">
        <f t="shared" si="6"/>
        <v>6.5970904760267485E-2</v>
      </c>
      <c r="O8" s="14">
        <f t="shared" si="7"/>
        <v>0.251747792571893</v>
      </c>
      <c r="P8" s="14">
        <f t="shared" si="8"/>
        <v>3.5900742336035386E-2</v>
      </c>
    </row>
    <row r="9" spans="1:16" x14ac:dyDescent="0.2">
      <c r="A9" s="9">
        <v>1966</v>
      </c>
      <c r="B9" s="11">
        <v>13406.311</v>
      </c>
      <c r="C9" s="12">
        <f>dep_pre_eng_2010!C10+dep_pre_eng_2010!E10+dep_pre_eng_2010!F10</f>
        <v>30794.041000000001</v>
      </c>
      <c r="D9" s="13">
        <f>dep_pre_eng_2010!Q10</f>
        <v>318.31700000000001</v>
      </c>
      <c r="E9" s="13">
        <f>dep_pre_eng_2010!R10</f>
        <v>455.065</v>
      </c>
      <c r="F9" s="13">
        <f>dep_pre_eng_2010!S10</f>
        <v>4518.7979999999998</v>
      </c>
      <c r="G9" s="13">
        <f>dep_pre_eng_2010!T10</f>
        <v>16900.131000000001</v>
      </c>
      <c r="H9" s="13">
        <f>dep_pre_eng_2010!Y10</f>
        <v>2467.6860000000001</v>
      </c>
      <c r="I9" s="13">
        <f t="shared" si="1"/>
        <v>68860.349000000002</v>
      </c>
      <c r="J9" s="14">
        <f t="shared" si="2"/>
        <v>0.19468839752758149</v>
      </c>
      <c r="K9" s="14">
        <f t="shared" si="3"/>
        <v>0.44719554064415212</v>
      </c>
      <c r="L9" s="14">
        <f t="shared" si="4"/>
        <v>4.6226457551064694E-3</v>
      </c>
      <c r="M9" s="14">
        <f t="shared" si="5"/>
        <v>6.6085200933268572E-3</v>
      </c>
      <c r="N9" s="14">
        <f t="shared" si="6"/>
        <v>6.5622641558206449E-2</v>
      </c>
      <c r="O9" s="14">
        <f t="shared" si="7"/>
        <v>0.24542615954502353</v>
      </c>
      <c r="P9" s="14">
        <f t="shared" si="8"/>
        <v>3.5836094876603081E-2</v>
      </c>
    </row>
    <row r="10" spans="1:16" x14ac:dyDescent="0.2">
      <c r="A10" s="9">
        <v>1967</v>
      </c>
      <c r="B10" s="11">
        <v>14880.29</v>
      </c>
      <c r="C10" s="12">
        <f>dep_pre_eng_2010!C11+dep_pre_eng_2010!E11+dep_pre_eng_2010!F11</f>
        <v>32893.279999999999</v>
      </c>
      <c r="D10" s="13">
        <f>dep_pre_eng_2010!Q11</f>
        <v>340.77199999999999</v>
      </c>
      <c r="E10" s="13">
        <f>dep_pre_eng_2010!R11</f>
        <v>514.11699999999996</v>
      </c>
      <c r="F10" s="13">
        <f>dep_pre_eng_2010!S11</f>
        <v>4559.6419999999998</v>
      </c>
      <c r="G10" s="13">
        <f>dep_pre_eng_2010!T11</f>
        <v>17290.082999999999</v>
      </c>
      <c r="H10" s="13">
        <f>dep_pre_eng_2010!Y11</f>
        <v>2676.098</v>
      </c>
      <c r="I10" s="13">
        <f t="shared" si="1"/>
        <v>73154.281999999992</v>
      </c>
      <c r="J10" s="14">
        <f t="shared" si="2"/>
        <v>0.20340969240870962</v>
      </c>
      <c r="K10" s="14">
        <f t="shared" si="3"/>
        <v>0.4496425786804934</v>
      </c>
      <c r="L10" s="14">
        <f t="shared" si="4"/>
        <v>4.6582645702134022E-3</v>
      </c>
      <c r="M10" s="14">
        <f t="shared" si="5"/>
        <v>7.0278456153803825E-3</v>
      </c>
      <c r="N10" s="14">
        <f t="shared" si="6"/>
        <v>6.2329119708946092E-2</v>
      </c>
      <c r="O10" s="14">
        <f t="shared" si="7"/>
        <v>0.23635093568412033</v>
      </c>
      <c r="P10" s="14">
        <f t="shared" si="8"/>
        <v>3.6581563332136871E-2</v>
      </c>
    </row>
    <row r="11" spans="1:16" x14ac:dyDescent="0.2">
      <c r="A11" s="9">
        <v>1968</v>
      </c>
      <c r="B11" s="11">
        <v>16172.74</v>
      </c>
      <c r="C11" s="12">
        <f>dep_pre_eng_2010!C12+dep_pre_eng_2010!E12+dep_pre_eng_2010!F12</f>
        <v>34734.976999999999</v>
      </c>
      <c r="D11" s="13">
        <f>dep_pre_eng_2010!Q12</f>
        <v>353.90499999999997</v>
      </c>
      <c r="E11" s="13">
        <f>dep_pre_eng_2010!R12</f>
        <v>571.40300000000002</v>
      </c>
      <c r="F11" s="13">
        <f>dep_pre_eng_2010!S12</f>
        <v>4718.6400000000003</v>
      </c>
      <c r="G11" s="13">
        <f>dep_pre_eng_2010!T12</f>
        <v>17322.306</v>
      </c>
      <c r="H11" s="13">
        <f>dep_pre_eng_2010!Y12</f>
        <v>3147.0169999999998</v>
      </c>
      <c r="I11" s="13">
        <f t="shared" si="1"/>
        <v>77020.987999999983</v>
      </c>
      <c r="J11" s="14">
        <f t="shared" si="2"/>
        <v>0.20997835031666956</v>
      </c>
      <c r="K11" s="14">
        <f t="shared" si="3"/>
        <v>0.45098067295631167</v>
      </c>
      <c r="L11" s="14">
        <f t="shared" si="4"/>
        <v>4.5949163882447221E-3</v>
      </c>
      <c r="M11" s="14">
        <f t="shared" si="5"/>
        <v>7.4187960299860103E-3</v>
      </c>
      <c r="N11" s="14">
        <f t="shared" si="6"/>
        <v>6.1264340052350423E-2</v>
      </c>
      <c r="O11" s="14">
        <f t="shared" si="7"/>
        <v>0.22490371066130707</v>
      </c>
      <c r="P11" s="14">
        <f t="shared" si="8"/>
        <v>4.0859213595130728E-2</v>
      </c>
    </row>
    <row r="12" spans="1:16" x14ac:dyDescent="0.2">
      <c r="A12" s="9">
        <v>1969</v>
      </c>
      <c r="B12" s="11">
        <v>17372.486000000001</v>
      </c>
      <c r="C12" s="12">
        <f>dep_pre_eng_2010!C13+dep_pre_eng_2010!E13+dep_pre_eng_2010!F13</f>
        <v>37455.419000000002</v>
      </c>
      <c r="D12" s="13">
        <f>dep_pre_eng_2010!Q13</f>
        <v>396.50299999999999</v>
      </c>
      <c r="E12" s="13">
        <f>dep_pre_eng_2010!R13</f>
        <v>628.44799999999998</v>
      </c>
      <c r="F12" s="13">
        <f>dep_pre_eng_2010!S13</f>
        <v>5205.9009999999998</v>
      </c>
      <c r="G12" s="13">
        <f>dep_pre_eng_2010!T13</f>
        <v>17895.437000000002</v>
      </c>
      <c r="H12" s="13">
        <f>dep_pre_eng_2010!Y13</f>
        <v>4130.5889999999999</v>
      </c>
      <c r="I12" s="13">
        <f t="shared" si="1"/>
        <v>83084.782999999996</v>
      </c>
      <c r="J12" s="14">
        <f t="shared" si="2"/>
        <v>0.20909347503501335</v>
      </c>
      <c r="K12" s="14">
        <f t="shared" si="3"/>
        <v>0.45080961455962404</v>
      </c>
      <c r="L12" s="14">
        <f t="shared" si="4"/>
        <v>4.7722697909676195E-3</v>
      </c>
      <c r="M12" s="14">
        <f t="shared" si="5"/>
        <v>7.5639362264447391E-3</v>
      </c>
      <c r="N12" s="14">
        <f t="shared" si="6"/>
        <v>6.2657695092012217E-2</v>
      </c>
      <c r="O12" s="14">
        <f t="shared" si="7"/>
        <v>0.21538766009655466</v>
      </c>
      <c r="P12" s="14">
        <f t="shared" si="8"/>
        <v>4.9715349199383481E-2</v>
      </c>
    </row>
    <row r="13" spans="1:16" x14ac:dyDescent="0.2">
      <c r="A13" s="9">
        <v>1970</v>
      </c>
      <c r="B13" s="11">
        <v>19020.734</v>
      </c>
      <c r="C13" s="12">
        <f>dep_pre_eng_2010!C14+dep_pre_eng_2010!E14+dep_pre_eng_2010!F14</f>
        <v>39635.704000000005</v>
      </c>
      <c r="D13" s="13">
        <f>dep_pre_eng_2010!Q14</f>
        <v>430.39</v>
      </c>
      <c r="E13" s="13">
        <f>dep_pre_eng_2010!R14</f>
        <v>668.02599999999995</v>
      </c>
      <c r="F13" s="13">
        <f>dep_pre_eng_2010!S14</f>
        <v>5247.47</v>
      </c>
      <c r="G13" s="13">
        <f>dep_pre_eng_2010!T14</f>
        <v>17882.067999999999</v>
      </c>
      <c r="H13" s="13">
        <f>dep_pre_eng_2010!Y14</f>
        <v>4548.375</v>
      </c>
      <c r="I13" s="13">
        <f t="shared" si="1"/>
        <v>87432.767000000007</v>
      </c>
      <c r="J13" s="14">
        <f t="shared" si="2"/>
        <v>0.21754697526614936</v>
      </c>
      <c r="K13" s="14">
        <f t="shared" si="3"/>
        <v>0.45332780100622916</v>
      </c>
      <c r="L13" s="14">
        <f t="shared" si="4"/>
        <v>4.9225252130016654E-3</v>
      </c>
      <c r="M13" s="14">
        <f t="shared" si="5"/>
        <v>7.6404536070555779E-3</v>
      </c>
      <c r="N13" s="14">
        <f t="shared" si="6"/>
        <v>6.0017201560142779E-2</v>
      </c>
      <c r="O13" s="14">
        <f t="shared" si="7"/>
        <v>0.20452364272081194</v>
      </c>
      <c r="P13" s="14">
        <f t="shared" si="8"/>
        <v>5.2021400626609468E-2</v>
      </c>
    </row>
    <row r="14" spans="1:16" x14ac:dyDescent="0.2">
      <c r="A14" s="9">
        <v>1971</v>
      </c>
      <c r="B14" s="11">
        <v>19932.451000000001</v>
      </c>
      <c r="C14" s="12">
        <f>dep_pre_eng_2010!C15+dep_pre_eng_2010!E15+dep_pre_eng_2010!F15</f>
        <v>41968.813999999998</v>
      </c>
      <c r="D14" s="13">
        <f>dep_pre_eng_2010!Q15</f>
        <v>467.24799999999999</v>
      </c>
      <c r="E14" s="13">
        <f>dep_pre_eng_2010!R15</f>
        <v>697.47299999999996</v>
      </c>
      <c r="F14" s="13">
        <f>dep_pre_eng_2010!S15</f>
        <v>5614.2420000000002</v>
      </c>
      <c r="G14" s="13">
        <f>dep_pre_eng_2010!T15</f>
        <v>17845.155999999999</v>
      </c>
      <c r="H14" s="13">
        <f>dep_pre_eng_2010!Y15</f>
        <v>4805.2780000000002</v>
      </c>
      <c r="I14" s="13">
        <f t="shared" si="1"/>
        <v>91330.662000000011</v>
      </c>
      <c r="J14" s="14">
        <f t="shared" si="2"/>
        <v>0.21824489786354553</v>
      </c>
      <c r="K14" s="14">
        <f t="shared" si="3"/>
        <v>0.45952600234081292</v>
      </c>
      <c r="L14" s="14">
        <f t="shared" si="4"/>
        <v>5.1160036483694814E-3</v>
      </c>
      <c r="M14" s="14">
        <f t="shared" si="5"/>
        <v>7.636789055574785E-3</v>
      </c>
      <c r="N14" s="14">
        <f t="shared" si="6"/>
        <v>6.1471600851858488E-2</v>
      </c>
      <c r="O14" s="14">
        <f t="shared" si="7"/>
        <v>0.19539063452753683</v>
      </c>
      <c r="P14" s="14">
        <f t="shared" si="8"/>
        <v>5.2614071712301827E-2</v>
      </c>
    </row>
    <row r="15" spans="1:16" x14ac:dyDescent="0.2">
      <c r="A15" s="9">
        <v>1972</v>
      </c>
      <c r="B15" s="11">
        <v>21060.149000000001</v>
      </c>
      <c r="C15" s="12">
        <f>dep_pre_eng_2010!C16+dep_pre_eng_2010!E16+dep_pre_eng_2010!F16</f>
        <v>44184.153000000006</v>
      </c>
      <c r="D15" s="13">
        <f>dep_pre_eng_2010!Q16</f>
        <v>526.52499999999998</v>
      </c>
      <c r="E15" s="13">
        <f>dep_pre_eng_2010!R16</f>
        <v>724.35699999999997</v>
      </c>
      <c r="F15" s="13">
        <f>dep_pre_eng_2010!S16</f>
        <v>5906.4539999999997</v>
      </c>
      <c r="G15" s="13">
        <f>dep_pre_eng_2010!T16</f>
        <v>18081.028999999999</v>
      </c>
      <c r="H15" s="13">
        <f>dep_pre_eng_2010!Y16</f>
        <v>4710.2550000000001</v>
      </c>
      <c r="I15" s="13">
        <f t="shared" si="1"/>
        <v>95192.922000000006</v>
      </c>
      <c r="J15" s="14">
        <f t="shared" si="2"/>
        <v>0.2212365011760013</v>
      </c>
      <c r="K15" s="14">
        <f t="shared" si="3"/>
        <v>0.46415376344892534</v>
      </c>
      <c r="L15" s="14">
        <f t="shared" si="4"/>
        <v>5.5311360229072489E-3</v>
      </c>
      <c r="M15" s="14">
        <f t="shared" si="5"/>
        <v>7.609357762964771E-3</v>
      </c>
      <c r="N15" s="14">
        <f t="shared" si="6"/>
        <v>6.2047197164511868E-2</v>
      </c>
      <c r="O15" s="14">
        <f t="shared" si="7"/>
        <v>0.18994089707636033</v>
      </c>
      <c r="P15" s="14">
        <f t="shared" si="8"/>
        <v>4.9481147348329112E-2</v>
      </c>
    </row>
    <row r="16" spans="1:16" x14ac:dyDescent="0.2">
      <c r="A16" s="9">
        <v>1973</v>
      </c>
      <c r="B16" s="11">
        <v>22930.077000000001</v>
      </c>
      <c r="C16" s="12">
        <f>dep_pre_eng_2010!C17+dep_pre_eng_2010!E17+dep_pre_eng_2010!F17</f>
        <v>43935.032999999996</v>
      </c>
      <c r="D16" s="13">
        <f>dep_pre_eng_2010!Q17</f>
        <v>572.78099999999995</v>
      </c>
      <c r="E16" s="13">
        <f>dep_pre_eng_2010!R17</f>
        <v>750.41800000000001</v>
      </c>
      <c r="F16" s="13">
        <f>dep_pre_eng_2010!S17</f>
        <v>5982.4870000000001</v>
      </c>
      <c r="G16" s="13">
        <f>dep_pre_eng_2010!T17</f>
        <v>18542.133000000002</v>
      </c>
      <c r="H16" s="13">
        <f>dep_pre_eng_2010!Y17</f>
        <v>6265.6260000000002</v>
      </c>
      <c r="I16" s="13">
        <f t="shared" si="1"/>
        <v>98978.555000000008</v>
      </c>
      <c r="J16" s="14">
        <f t="shared" si="2"/>
        <v>0.23166712223673097</v>
      </c>
      <c r="K16" s="14">
        <f t="shared" si="3"/>
        <v>0.44388436464848363</v>
      </c>
      <c r="L16" s="14">
        <f t="shared" si="4"/>
        <v>5.7869202071095084E-3</v>
      </c>
      <c r="M16" s="14">
        <f t="shared" si="5"/>
        <v>7.5816220998578933E-3</v>
      </c>
      <c r="N16" s="14">
        <f t="shared" si="6"/>
        <v>6.0442254385305982E-2</v>
      </c>
      <c r="O16" s="14">
        <f t="shared" si="7"/>
        <v>0.18733485248395473</v>
      </c>
      <c r="P16" s="14">
        <f t="shared" si="8"/>
        <v>6.3302863938557191E-2</v>
      </c>
    </row>
    <row r="17" spans="1:16" x14ac:dyDescent="0.2">
      <c r="A17" s="9">
        <v>1974</v>
      </c>
      <c r="B17" s="11">
        <v>22437.425999999999</v>
      </c>
      <c r="C17" s="12">
        <f>dep_pre_eng_2010!C18+dep_pre_eng_2010!E18+dep_pre_eng_2010!F18</f>
        <v>44852.908000000003</v>
      </c>
      <c r="D17" s="13">
        <f>dep_pre_eng_2010!Q18</f>
        <v>685.36800000000005</v>
      </c>
      <c r="E17" s="13">
        <f>dep_pre_eng_2010!R18</f>
        <v>797.39499999999998</v>
      </c>
      <c r="F17" s="13">
        <f>dep_pre_eng_2010!S18</f>
        <v>6293.94</v>
      </c>
      <c r="G17" s="13">
        <f>dep_pre_eng_2010!T18</f>
        <v>18652.812999999998</v>
      </c>
      <c r="H17" s="13">
        <f>dep_pre_eng_2010!Y18</f>
        <v>8879.152</v>
      </c>
      <c r="I17" s="13">
        <f t="shared" si="1"/>
        <v>102599.00200000001</v>
      </c>
      <c r="J17" s="14">
        <f t="shared" si="2"/>
        <v>0.2186904897963822</v>
      </c>
      <c r="K17" s="14">
        <f t="shared" si="3"/>
        <v>0.43716709837002116</v>
      </c>
      <c r="L17" s="14">
        <f t="shared" si="4"/>
        <v>6.6800649776300944E-3</v>
      </c>
      <c r="M17" s="14">
        <f t="shared" si="5"/>
        <v>7.7719566901830088E-3</v>
      </c>
      <c r="N17" s="14">
        <f t="shared" si="6"/>
        <v>6.1345041153519207E-2</v>
      </c>
      <c r="O17" s="14">
        <f t="shared" si="7"/>
        <v>0.18180306471207192</v>
      </c>
      <c r="P17" s="14">
        <f t="shared" si="8"/>
        <v>8.6542284300192313E-2</v>
      </c>
    </row>
    <row r="18" spans="1:16" x14ac:dyDescent="0.2">
      <c r="A18" s="9">
        <v>1975</v>
      </c>
      <c r="B18" s="11">
        <v>23548.962</v>
      </c>
      <c r="C18" s="12">
        <f>dep_pre_eng_2010!C19+dep_pre_eng_2010!E19+dep_pre_eng_2010!F19</f>
        <v>45422.856</v>
      </c>
      <c r="D18" s="13">
        <f>dep_pre_eng_2010!Q19</f>
        <v>998.43100000000004</v>
      </c>
      <c r="E18" s="13">
        <f>dep_pre_eng_2010!R19</f>
        <v>840.46699999999998</v>
      </c>
      <c r="F18" s="13">
        <f>dep_pre_eng_2010!S19</f>
        <v>6450.4059999999999</v>
      </c>
      <c r="G18" s="13">
        <f>dep_pre_eng_2010!T19</f>
        <v>18653.487000000001</v>
      </c>
      <c r="H18" s="13">
        <f>dep_pre_eng_2010!Y19</f>
        <v>6665.3040000000001</v>
      </c>
      <c r="I18" s="13">
        <f t="shared" si="1"/>
        <v>102579.913</v>
      </c>
      <c r="J18" s="14">
        <f t="shared" si="2"/>
        <v>0.22956699134654168</v>
      </c>
      <c r="K18" s="14">
        <f t="shared" si="3"/>
        <v>0.44280458689802166</v>
      </c>
      <c r="L18" s="14">
        <f t="shared" si="4"/>
        <v>9.7332018599001931E-3</v>
      </c>
      <c r="M18" s="14">
        <f t="shared" si="5"/>
        <v>8.1932902399712501E-3</v>
      </c>
      <c r="N18" s="14">
        <f t="shared" si="6"/>
        <v>6.2881765165856598E-2</v>
      </c>
      <c r="O18" s="14">
        <f t="shared" si="7"/>
        <v>0.18184346676137267</v>
      </c>
      <c r="P18" s="14">
        <f t="shared" si="8"/>
        <v>6.4976697728335961E-2</v>
      </c>
    </row>
    <row r="19" spans="1:16" x14ac:dyDescent="0.2">
      <c r="A19" s="9">
        <v>1976</v>
      </c>
      <c r="B19" s="11">
        <v>24419.701000000001</v>
      </c>
      <c r="C19" s="12">
        <f>dep_pre_eng_2010!C20+dep_pre_eng_2010!E20+dep_pre_eng_2010!F20</f>
        <v>47189.198000000004</v>
      </c>
      <c r="D19" s="13">
        <f>dep_pre_eng_2010!Q20</f>
        <v>1297.8820000000001</v>
      </c>
      <c r="E19" s="13">
        <f>dep_pre_eng_2010!R20</f>
        <v>847.82299999999998</v>
      </c>
      <c r="F19" s="13">
        <f>dep_pre_eng_2010!S20</f>
        <v>6287.7089999999998</v>
      </c>
      <c r="G19" s="13">
        <f>dep_pre_eng_2010!T20</f>
        <v>19253.976999999999</v>
      </c>
      <c r="H19" s="13">
        <f>dep_pre_eng_2010!Y20</f>
        <v>6924.2939999999999</v>
      </c>
      <c r="I19" s="13">
        <f t="shared" si="1"/>
        <v>106220.584</v>
      </c>
      <c r="J19" s="14">
        <f t="shared" si="2"/>
        <v>0.22989612823066385</v>
      </c>
      <c r="K19" s="14">
        <f t="shared" si="3"/>
        <v>0.44425662355612733</v>
      </c>
      <c r="L19" s="14">
        <f t="shared" si="4"/>
        <v>1.2218742838017159E-2</v>
      </c>
      <c r="M19" s="14">
        <f t="shared" si="5"/>
        <v>7.9817203791686924E-3</v>
      </c>
      <c r="N19" s="14">
        <f t="shared" si="6"/>
        <v>5.9194826117694853E-2</v>
      </c>
      <c r="O19" s="14">
        <f t="shared" si="7"/>
        <v>0.18126408531137428</v>
      </c>
      <c r="P19" s="14">
        <f t="shared" si="8"/>
        <v>6.5187873566953838E-2</v>
      </c>
    </row>
    <row r="20" spans="1:16" x14ac:dyDescent="0.2">
      <c r="A20" s="9">
        <v>1977</v>
      </c>
      <c r="B20" s="11">
        <v>25448.753000000001</v>
      </c>
      <c r="C20" s="12">
        <f>dep_pre_eng_2010!C21+dep_pre_eng_2010!E21+dep_pre_eng_2010!F21</f>
        <v>49320.152999999998</v>
      </c>
      <c r="D20" s="13">
        <f>dep_pre_eng_2010!Q21</f>
        <v>1599.2750000000001</v>
      </c>
      <c r="E20" s="13">
        <f>dep_pre_eng_2010!R21</f>
        <v>911.11</v>
      </c>
      <c r="F20" s="13">
        <f>dep_pre_eng_2010!S21</f>
        <v>6374.9369999999999</v>
      </c>
      <c r="G20" s="13">
        <f>dep_pre_eng_2010!T21</f>
        <v>19340.406999999999</v>
      </c>
      <c r="H20" s="13">
        <f>dep_pre_eng_2010!Y21</f>
        <v>6523.0060000000003</v>
      </c>
      <c r="I20" s="13">
        <f t="shared" si="1"/>
        <v>109517.641</v>
      </c>
      <c r="J20" s="14">
        <f t="shared" si="2"/>
        <v>0.23237126701806882</v>
      </c>
      <c r="K20" s="14">
        <f t="shared" si="3"/>
        <v>0.45033980415995262</v>
      </c>
      <c r="L20" s="14">
        <f t="shared" si="4"/>
        <v>1.4602898541249625E-2</v>
      </c>
      <c r="M20" s="14">
        <f t="shared" si="5"/>
        <v>8.3192989885529037E-3</v>
      </c>
      <c r="N20" s="14">
        <f t="shared" si="6"/>
        <v>5.8209224941212896E-2</v>
      </c>
      <c r="O20" s="14">
        <f t="shared" si="7"/>
        <v>0.17659627091492958</v>
      </c>
      <c r="P20" s="14">
        <f t="shared" si="8"/>
        <v>5.9561235436033547E-2</v>
      </c>
    </row>
    <row r="21" spans="1:16" x14ac:dyDescent="0.2">
      <c r="A21" s="9">
        <v>1978</v>
      </c>
      <c r="B21" s="11">
        <v>28302.062000000002</v>
      </c>
      <c r="C21" s="12">
        <f>dep_pre_eng_2010!C22+dep_pre_eng_2010!E22+dep_pre_eng_2010!F22</f>
        <v>50574.068999999996</v>
      </c>
      <c r="D21" s="13">
        <f>dep_pre_eng_2010!Q22</f>
        <v>1844.2090000000001</v>
      </c>
      <c r="E21" s="13">
        <f>dep_pre_eng_2010!R22</f>
        <v>950.53499999999997</v>
      </c>
      <c r="F21" s="13">
        <f>dep_pre_eng_2010!S22</f>
        <v>6537.9489999999996</v>
      </c>
      <c r="G21" s="13">
        <f>dep_pre_eng_2010!T22</f>
        <v>19275.975999999999</v>
      </c>
      <c r="H21" s="13">
        <f>dep_pre_eng_2010!Y22</f>
        <v>6620.2719999999999</v>
      </c>
      <c r="I21" s="13">
        <f t="shared" si="1"/>
        <v>114105.07199999999</v>
      </c>
      <c r="J21" s="14">
        <f t="shared" si="2"/>
        <v>0.24803509172668509</v>
      </c>
      <c r="K21" s="14">
        <f t="shared" si="3"/>
        <v>0.44322367195035822</v>
      </c>
      <c r="L21" s="14">
        <f t="shared" si="4"/>
        <v>1.6162375323684124E-2</v>
      </c>
      <c r="M21" s="14">
        <f t="shared" si="5"/>
        <v>8.3303483652330552E-3</v>
      </c>
      <c r="N21" s="14">
        <f t="shared" si="6"/>
        <v>5.7297619513355207E-2</v>
      </c>
      <c r="O21" s="14">
        <f t="shared" si="7"/>
        <v>0.16893180699276891</v>
      </c>
      <c r="P21" s="14">
        <f t="shared" si="8"/>
        <v>5.8019086127915516E-2</v>
      </c>
    </row>
    <row r="22" spans="1:16" x14ac:dyDescent="0.2">
      <c r="A22" s="9">
        <v>1979</v>
      </c>
      <c r="B22" s="11">
        <v>28774.267</v>
      </c>
      <c r="C22" s="12">
        <f>dep_pre_eng_2010!C23+dep_pre_eng_2010!E23+dep_pre_eng_2010!F23</f>
        <v>51150.146000000001</v>
      </c>
      <c r="D22" s="13">
        <f>dep_pre_eng_2010!Q23</f>
        <v>2232.6060000000002</v>
      </c>
      <c r="E22" s="13">
        <f>dep_pre_eng_2010!R23</f>
        <v>1005.93</v>
      </c>
      <c r="F22" s="13">
        <f>dep_pre_eng_2010!S23</f>
        <v>6362.6970000000001</v>
      </c>
      <c r="G22" s="13">
        <f>dep_pre_eng_2010!T23</f>
        <v>19829.174999999999</v>
      </c>
      <c r="H22" s="13">
        <f>dep_pre_eng_2010!Y23</f>
        <v>7070.2929999999997</v>
      </c>
      <c r="I22" s="13">
        <f t="shared" si="1"/>
        <v>116425.114</v>
      </c>
      <c r="J22" s="14">
        <f t="shared" si="2"/>
        <v>0.24714828280090839</v>
      </c>
      <c r="K22" s="14">
        <f t="shared" si="3"/>
        <v>0.4393394538570089</v>
      </c>
      <c r="L22" s="14">
        <f t="shared" si="4"/>
        <v>1.9176326509759742E-2</v>
      </c>
      <c r="M22" s="14">
        <f t="shared" si="5"/>
        <v>8.6401461457877547E-3</v>
      </c>
      <c r="N22" s="14">
        <f t="shared" si="6"/>
        <v>5.4650554175106926E-2</v>
      </c>
      <c r="O22" s="14">
        <f t="shared" si="7"/>
        <v>0.17031699019852364</v>
      </c>
      <c r="P22" s="14">
        <f t="shared" si="8"/>
        <v>6.0728246312904618E-2</v>
      </c>
    </row>
    <row r="23" spans="1:16" x14ac:dyDescent="0.2">
      <c r="A23" s="9">
        <v>1980</v>
      </c>
      <c r="B23" s="11">
        <v>28945.379000000001</v>
      </c>
      <c r="C23" s="12">
        <f>dep_pre_eng_2010!C24+dep_pre_eng_2010!E24+dep_pre_eng_2010!F24</f>
        <v>51996.395999999993</v>
      </c>
      <c r="D23" s="13">
        <f>dep_pre_eng_2010!Q24</f>
        <v>2618.4009999999998</v>
      </c>
      <c r="E23" s="13">
        <f>dep_pre_eng_2010!R24</f>
        <v>1080.1320000000001</v>
      </c>
      <c r="F23" s="13">
        <f>dep_pre_eng_2010!S24</f>
        <v>6540.3410000000003</v>
      </c>
      <c r="G23" s="13">
        <f>dep_pre_eng_2010!T24</f>
        <v>20087.522000000001</v>
      </c>
      <c r="H23" s="13">
        <f>dep_pre_eng_2010!Y24</f>
        <v>7357.3779999999997</v>
      </c>
      <c r="I23" s="13">
        <f t="shared" si="1"/>
        <v>118625.54899999998</v>
      </c>
      <c r="J23" s="14">
        <f t="shared" si="2"/>
        <v>0.24400628063689725</v>
      </c>
      <c r="K23" s="14">
        <f t="shared" si="3"/>
        <v>0.43832375435413157</v>
      </c>
      <c r="L23" s="14">
        <f t="shared" si="4"/>
        <v>2.2072825138200206E-2</v>
      </c>
      <c r="M23" s="14">
        <f t="shared" si="5"/>
        <v>9.1053909474425286E-3</v>
      </c>
      <c r="N23" s="14">
        <f t="shared" si="6"/>
        <v>5.51343370389797E-2</v>
      </c>
      <c r="O23" s="14">
        <f t="shared" si="7"/>
        <v>0.16933554507722451</v>
      </c>
      <c r="P23" s="14">
        <f t="shared" si="8"/>
        <v>6.2021866807124328E-2</v>
      </c>
    </row>
    <row r="24" spans="1:16" x14ac:dyDescent="0.2">
      <c r="A24" s="9">
        <v>1981</v>
      </c>
      <c r="B24" s="11">
        <v>27424.222000000002</v>
      </c>
      <c r="C24" s="12">
        <f>dep_pre_eng_2010!C25+dep_pre_eng_2010!E25+dep_pre_eng_2010!F25</f>
        <v>52202.178999999996</v>
      </c>
      <c r="D24" s="13">
        <f>dep_pre_eng_2010!Q25</f>
        <v>3065.7130000000002</v>
      </c>
      <c r="E24" s="13">
        <f>dep_pre_eng_2010!R25</f>
        <v>1133.1079999999999</v>
      </c>
      <c r="F24" s="13">
        <f>dep_pre_eng_2010!S25</f>
        <v>6516.4930000000004</v>
      </c>
      <c r="G24" s="13">
        <f>dep_pre_eng_2010!T25</f>
        <v>20124.691999999999</v>
      </c>
      <c r="H24" s="13">
        <f>dep_pre_eng_2010!Y25</f>
        <v>7571.3760000000002</v>
      </c>
      <c r="I24" s="13">
        <f t="shared" si="1"/>
        <v>118037.783</v>
      </c>
      <c r="J24" s="14">
        <f t="shared" si="2"/>
        <v>0.23233426876545116</v>
      </c>
      <c r="K24" s="14">
        <f t="shared" si="3"/>
        <v>0.44224974133917777</v>
      </c>
      <c r="L24" s="14">
        <f t="shared" si="4"/>
        <v>2.5972302444887501E-2</v>
      </c>
      <c r="M24" s="14">
        <f t="shared" si="5"/>
        <v>9.5995364467324831E-3</v>
      </c>
      <c r="N24" s="14">
        <f t="shared" si="6"/>
        <v>5.5206839999697388E-2</v>
      </c>
      <c r="O24" s="14">
        <f t="shared" si="7"/>
        <v>0.17049364608957454</v>
      </c>
      <c r="P24" s="14">
        <f t="shared" si="8"/>
        <v>6.414366491447912E-2</v>
      </c>
    </row>
    <row r="25" spans="1:16" x14ac:dyDescent="0.2">
      <c r="A25" s="9">
        <v>1982</v>
      </c>
      <c r="B25" s="11">
        <v>26979.163</v>
      </c>
      <c r="C25" s="12">
        <f>dep_pre_eng_2010!C26+dep_pre_eng_2010!E26+dep_pre_eng_2010!F26</f>
        <v>51524.049000000006</v>
      </c>
      <c r="D25" s="13">
        <f>dep_pre_eng_2010!Q26</f>
        <v>3355.27</v>
      </c>
      <c r="E25" s="13">
        <f>dep_pre_eng_2010!R26</f>
        <v>1149.8140000000001</v>
      </c>
      <c r="F25" s="13">
        <f>dep_pre_eng_2010!S26</f>
        <v>6555.7759999999998</v>
      </c>
      <c r="G25" s="13">
        <f>dep_pre_eng_2010!T26</f>
        <v>20545.392</v>
      </c>
      <c r="H25" s="13">
        <f>dep_pre_eng_2010!Y26</f>
        <v>7685.7309999999998</v>
      </c>
      <c r="I25" s="13">
        <f t="shared" si="1"/>
        <v>117795.19500000001</v>
      </c>
      <c r="J25" s="14">
        <f t="shared" si="2"/>
        <v>0.22903449499786471</v>
      </c>
      <c r="K25" s="14">
        <f t="shared" si="3"/>
        <v>0.4374036564055096</v>
      </c>
      <c r="L25" s="14">
        <f t="shared" si="4"/>
        <v>2.8483929246859347E-2</v>
      </c>
      <c r="M25" s="14">
        <f t="shared" si="5"/>
        <v>9.761128202215719E-3</v>
      </c>
      <c r="N25" s="14">
        <f t="shared" si="6"/>
        <v>5.5654018824791616E-2</v>
      </c>
      <c r="O25" s="14">
        <f t="shared" si="7"/>
        <v>0.17441621451537134</v>
      </c>
      <c r="P25" s="14">
        <f t="shared" si="8"/>
        <v>6.524655780738764E-2</v>
      </c>
    </row>
    <row r="26" spans="1:16" x14ac:dyDescent="0.2">
      <c r="A26" s="9">
        <v>1983</v>
      </c>
      <c r="B26" s="11">
        <v>28160.434000000001</v>
      </c>
      <c r="C26" s="12">
        <f>dep_pre_eng_2010!C27+dep_pre_eng_2010!E27+dep_pre_eng_2010!F27</f>
        <v>52072.864000000001</v>
      </c>
      <c r="D26" s="13">
        <f>dep_pre_eng_2010!Q27</f>
        <v>3652.538</v>
      </c>
      <c r="E26" s="13">
        <f>dep_pre_eng_2010!R27</f>
        <v>1228.9780000000001</v>
      </c>
      <c r="F26" s="13">
        <f>dep_pre_eng_2010!S27</f>
        <v>6645.45</v>
      </c>
      <c r="G26" s="13">
        <f>dep_pre_eng_2010!T27</f>
        <v>19981.080999999998</v>
      </c>
      <c r="H26" s="13">
        <f>dep_pre_eng_2010!Y27</f>
        <v>7885.7790000000005</v>
      </c>
      <c r="I26" s="13">
        <f t="shared" si="1"/>
        <v>119627.124</v>
      </c>
      <c r="J26" s="14">
        <f t="shared" si="2"/>
        <v>0.23540174718235307</v>
      </c>
      <c r="K26" s="14">
        <f t="shared" si="3"/>
        <v>0.43529311964400319</v>
      </c>
      <c r="L26" s="14">
        <f t="shared" si="4"/>
        <v>3.0532690897091198E-2</v>
      </c>
      <c r="M26" s="14">
        <f t="shared" si="5"/>
        <v>1.02734058874474E-2</v>
      </c>
      <c r="N26" s="14">
        <f t="shared" si="6"/>
        <v>5.5551364755705407E-2</v>
      </c>
      <c r="O26" s="14">
        <f t="shared" si="7"/>
        <v>0.16702801448273552</v>
      </c>
      <c r="P26" s="14">
        <f t="shared" si="8"/>
        <v>6.5919657150664265E-2</v>
      </c>
    </row>
    <row r="27" spans="1:16" x14ac:dyDescent="0.2">
      <c r="A27" s="9">
        <v>1984</v>
      </c>
      <c r="B27" s="11">
        <v>29464.039000000001</v>
      </c>
      <c r="C27" s="12">
        <f>dep_pre_eng_2010!C28+dep_pre_eng_2010!E28+dep_pre_eng_2010!F28</f>
        <v>52799.527999999998</v>
      </c>
      <c r="D27" s="13">
        <f>dep_pre_eng_2010!Q28</f>
        <v>3865.9870000000001</v>
      </c>
      <c r="E27" s="13">
        <f>dep_pre_eng_2010!R28</f>
        <v>1261.481</v>
      </c>
      <c r="F27" s="13">
        <f>dep_pre_eng_2010!S28</f>
        <v>6548.0339999999997</v>
      </c>
      <c r="G27" s="13">
        <f>dep_pre_eng_2010!T28</f>
        <v>19403.992999999999</v>
      </c>
      <c r="H27" s="13">
        <f>dep_pre_eng_2010!Y28</f>
        <v>8084.5259999999998</v>
      </c>
      <c r="I27" s="13">
        <f t="shared" si="1"/>
        <v>121427.58799999999</v>
      </c>
      <c r="J27" s="14">
        <f t="shared" si="2"/>
        <v>0.24264699221399344</v>
      </c>
      <c r="K27" s="14">
        <f t="shared" si="3"/>
        <v>0.43482316390901221</v>
      </c>
      <c r="L27" s="14">
        <f t="shared" si="4"/>
        <v>3.1837797848706342E-2</v>
      </c>
      <c r="M27" s="14">
        <f t="shared" si="5"/>
        <v>1.0388751195486153E-2</v>
      </c>
      <c r="N27" s="14">
        <f t="shared" si="6"/>
        <v>5.3925422614834448E-2</v>
      </c>
      <c r="O27" s="14">
        <f t="shared" si="7"/>
        <v>0.15979888359472313</v>
      </c>
      <c r="P27" s="14">
        <f t="shared" si="8"/>
        <v>6.6578988623244337E-2</v>
      </c>
    </row>
    <row r="28" spans="1:16" x14ac:dyDescent="0.2">
      <c r="A28" s="9">
        <v>1985</v>
      </c>
      <c r="B28" s="11">
        <v>31055.88</v>
      </c>
      <c r="C28" s="12">
        <f>dep_pre_eng_2010!C29+dep_pre_eng_2010!E29+dep_pre_eng_2010!F29</f>
        <v>53882.794000000002</v>
      </c>
      <c r="D28" s="13">
        <f>dep_pre_eng_2010!Q29</f>
        <v>4055.9749999999999</v>
      </c>
      <c r="E28" s="13">
        <f>dep_pre_eng_2010!R29</f>
        <v>1398.1679999999999</v>
      </c>
      <c r="F28" s="13">
        <f>dep_pre_eng_2010!S29</f>
        <v>6593.4470000000001</v>
      </c>
      <c r="G28" s="13">
        <f>dep_pre_eng_2010!T29</f>
        <v>19190.543000000001</v>
      </c>
      <c r="H28" s="13">
        <f>dep_pre_eng_2010!Y29</f>
        <v>8274.7150000000001</v>
      </c>
      <c r="I28" s="13">
        <f t="shared" si="1"/>
        <v>124451.52200000001</v>
      </c>
      <c r="J28" s="14">
        <f t="shared" si="2"/>
        <v>0.24954198631656749</v>
      </c>
      <c r="K28" s="14">
        <f t="shared" si="3"/>
        <v>0.43296211355293829</v>
      </c>
      <c r="L28" s="14">
        <f t="shared" si="4"/>
        <v>3.2590802706293935E-2</v>
      </c>
      <c r="M28" s="14">
        <f t="shared" si="5"/>
        <v>1.1234639621361961E-2</v>
      </c>
      <c r="N28" s="14">
        <f t="shared" si="6"/>
        <v>5.2980043104655636E-2</v>
      </c>
      <c r="O28" s="14">
        <f t="shared" si="7"/>
        <v>0.15420095063200592</v>
      </c>
      <c r="P28" s="14">
        <f t="shared" si="8"/>
        <v>6.6489464066176701E-2</v>
      </c>
    </row>
    <row r="29" spans="1:16" x14ac:dyDescent="0.2">
      <c r="A29" s="9">
        <v>1986</v>
      </c>
      <c r="B29" s="11">
        <v>32062.502</v>
      </c>
      <c r="C29" s="12">
        <f>dep_pre_eng_2010!C30+dep_pre_eng_2010!E30+dep_pre_eng_2010!F30</f>
        <v>55107.218000000001</v>
      </c>
      <c r="D29" s="13">
        <f>dep_pre_eng_2010!Q30</f>
        <v>4164.4110000000001</v>
      </c>
      <c r="E29" s="13">
        <f>dep_pre_eng_2010!R30</f>
        <v>1639.4580000000001</v>
      </c>
      <c r="F29" s="13">
        <f>dep_pre_eng_2010!S30</f>
        <v>6651.9549999999999</v>
      </c>
      <c r="G29" s="13">
        <f>dep_pre_eng_2010!T30</f>
        <v>18969.422999999999</v>
      </c>
      <c r="H29" s="13">
        <f>dep_pre_eng_2010!Y30</f>
        <v>8507.7939999999999</v>
      </c>
      <c r="I29" s="13">
        <f t="shared" si="1"/>
        <v>127102.76099999998</v>
      </c>
      <c r="J29" s="14">
        <f t="shared" si="2"/>
        <v>0.25225653438008327</v>
      </c>
      <c r="K29" s="14">
        <f t="shared" si="3"/>
        <v>0.43356428740363878</v>
      </c>
      <c r="L29" s="14">
        <f t="shared" si="4"/>
        <v>3.2764126972820051E-2</v>
      </c>
      <c r="M29" s="14">
        <f t="shared" si="5"/>
        <v>1.2898681248946279E-2</v>
      </c>
      <c r="N29" s="14">
        <f t="shared" si="6"/>
        <v>5.2335251788904892E-2</v>
      </c>
      <c r="O29" s="14">
        <f t="shared" si="7"/>
        <v>0.1492447752570851</v>
      </c>
      <c r="P29" s="14">
        <f t="shared" si="8"/>
        <v>6.6936342948521799E-2</v>
      </c>
    </row>
    <row r="30" spans="1:16" x14ac:dyDescent="0.2">
      <c r="A30" s="9">
        <v>1987</v>
      </c>
      <c r="B30" s="11">
        <v>32373.731</v>
      </c>
      <c r="C30" s="12">
        <f>dep_pre_eng_2010!C31+dep_pre_eng_2010!E31+dep_pre_eng_2010!F31</f>
        <v>56313.244999999995</v>
      </c>
      <c r="D30" s="13">
        <f>dep_pre_eng_2010!Q31</f>
        <v>4455.9960000000001</v>
      </c>
      <c r="E30" s="13">
        <f>dep_pre_eng_2010!R31</f>
        <v>1924.29</v>
      </c>
      <c r="F30" s="13">
        <f>dep_pre_eng_2010!S31</f>
        <v>6819.0249999999996</v>
      </c>
      <c r="G30" s="13">
        <f>dep_pre_eng_2010!T31</f>
        <v>19169.892</v>
      </c>
      <c r="H30" s="13">
        <f>dep_pre_eng_2010!Y31</f>
        <v>8888.7430000000004</v>
      </c>
      <c r="I30" s="13">
        <f t="shared" si="1"/>
        <v>129944.92199999998</v>
      </c>
      <c r="J30" s="14">
        <f t="shared" si="2"/>
        <v>0.24913425243350415</v>
      </c>
      <c r="K30" s="14">
        <f t="shared" si="3"/>
        <v>0.43336241334617143</v>
      </c>
      <c r="L30" s="14">
        <f t="shared" si="4"/>
        <v>3.4291420791341128E-2</v>
      </c>
      <c r="M30" s="14">
        <f t="shared" si="5"/>
        <v>1.4808504790975983E-2</v>
      </c>
      <c r="N30" s="14">
        <f t="shared" si="6"/>
        <v>5.2476271446759579E-2</v>
      </c>
      <c r="O30" s="14">
        <f t="shared" si="7"/>
        <v>0.1475232098719487</v>
      </c>
      <c r="P30" s="14">
        <f t="shared" si="8"/>
        <v>6.8403927319299188E-2</v>
      </c>
    </row>
    <row r="31" spans="1:16" x14ac:dyDescent="0.2">
      <c r="A31" s="9">
        <v>1988</v>
      </c>
      <c r="B31" s="11">
        <v>30714.080999999998</v>
      </c>
      <c r="C31" s="12">
        <f>dep_pre_eng_2010!C32+dep_pre_eng_2010!E32+dep_pre_eng_2010!F32</f>
        <v>57900.445999999996</v>
      </c>
      <c r="D31" s="13">
        <f>dep_pre_eng_2010!Q32</f>
        <v>4708.1710000000003</v>
      </c>
      <c r="E31" s="13">
        <f>dep_pre_eng_2010!R32</f>
        <v>2154.7510000000002</v>
      </c>
      <c r="F31" s="13">
        <f>dep_pre_eng_2010!S32</f>
        <v>7100.1149999999998</v>
      </c>
      <c r="G31" s="13">
        <f>dep_pre_eng_2010!T32</f>
        <v>19080.645</v>
      </c>
      <c r="H31" s="13">
        <f>dep_pre_eng_2010!Y32</f>
        <v>9315.4889999999996</v>
      </c>
      <c r="I31" s="13">
        <f t="shared" si="1"/>
        <v>130973.69800000002</v>
      </c>
      <c r="J31" s="14">
        <f t="shared" si="2"/>
        <v>0.23450571732348882</v>
      </c>
      <c r="K31" s="14">
        <f t="shared" si="3"/>
        <v>0.44207689699652514</v>
      </c>
      <c r="L31" s="14">
        <f t="shared" si="4"/>
        <v>3.5947454121666472E-2</v>
      </c>
      <c r="M31" s="14">
        <f t="shared" si="5"/>
        <v>1.645178408263314E-2</v>
      </c>
      <c r="N31" s="14">
        <f t="shared" si="6"/>
        <v>5.4210235401614751E-2</v>
      </c>
      <c r="O31" s="14">
        <f t="shared" si="7"/>
        <v>0.14568302866427424</v>
      </c>
      <c r="P31" s="14">
        <f t="shared" si="8"/>
        <v>7.1124883409797279E-2</v>
      </c>
    </row>
    <row r="32" spans="1:16" x14ac:dyDescent="0.2">
      <c r="A32" s="9">
        <v>1989</v>
      </c>
      <c r="B32" s="11">
        <v>30736.7</v>
      </c>
      <c r="C32" s="12">
        <f>dep_pre_eng_2010!C33+dep_pre_eng_2010!E33+dep_pre_eng_2010!F33</f>
        <v>59095.735000000001</v>
      </c>
      <c r="D32" s="13">
        <f>dep_pre_eng_2010!Q33</f>
        <v>5048.9579999999996</v>
      </c>
      <c r="E32" s="13">
        <f>dep_pre_eng_2010!R33</f>
        <v>2324.7939999999999</v>
      </c>
      <c r="F32" s="13">
        <f>dep_pre_eng_2010!S33</f>
        <v>6953.6260000000002</v>
      </c>
      <c r="G32" s="13">
        <f>dep_pre_eng_2010!T33</f>
        <v>19147.79</v>
      </c>
      <c r="H32" s="13">
        <f>dep_pre_eng_2010!Y33</f>
        <v>9611.6270000000004</v>
      </c>
      <c r="I32" s="13">
        <f t="shared" si="1"/>
        <v>132919.23000000001</v>
      </c>
      <c r="J32" s="14">
        <f t="shared" si="2"/>
        <v>0.23124344009516154</v>
      </c>
      <c r="K32" s="14">
        <f t="shared" si="3"/>
        <v>0.44459883645127946</v>
      </c>
      <c r="L32" s="14">
        <f t="shared" si="4"/>
        <v>3.7985158355190583E-2</v>
      </c>
      <c r="M32" s="14">
        <f t="shared" si="5"/>
        <v>1.749027586151379E-2</v>
      </c>
      <c r="N32" s="14">
        <f t="shared" si="6"/>
        <v>5.231467260230141E-2</v>
      </c>
      <c r="O32" s="14">
        <f t="shared" si="7"/>
        <v>0.14405582999540398</v>
      </c>
      <c r="P32" s="14">
        <f t="shared" si="8"/>
        <v>7.2311786639149195E-2</v>
      </c>
    </row>
    <row r="33" spans="1:16" x14ac:dyDescent="0.2">
      <c r="A33" s="9">
        <v>1990</v>
      </c>
      <c r="B33" s="11">
        <v>31829.736000000001</v>
      </c>
      <c r="C33" s="12">
        <f>dep_pre_eng_2010!C34+dep_pre_eng_2010!E34+dep_pre_eng_2010!F34</f>
        <v>60707.225000000006</v>
      </c>
      <c r="D33" s="13">
        <f>dep_pre_eng_2010!Q34</f>
        <v>5429.7790000000005</v>
      </c>
      <c r="E33" s="13">
        <f>dep_pre_eng_2010!R34</f>
        <v>2439.0650000000001</v>
      </c>
      <c r="F33" s="13">
        <f>dep_pre_eng_2010!S34</f>
        <v>7341.8249999999998</v>
      </c>
      <c r="G33" s="13">
        <f>dep_pre_eng_2010!T34</f>
        <v>19927.421999999999</v>
      </c>
      <c r="H33" s="13">
        <f>dep_pre_eng_2010!Y34</f>
        <v>9686.9480000000003</v>
      </c>
      <c r="I33" s="13">
        <f t="shared" si="1"/>
        <v>137362</v>
      </c>
      <c r="J33" s="14">
        <f t="shared" si="2"/>
        <v>0.23172155326800717</v>
      </c>
      <c r="K33" s="14">
        <f t="shared" si="3"/>
        <v>0.4419506486510098</v>
      </c>
      <c r="L33" s="14">
        <f t="shared" si="4"/>
        <v>3.9528974534441846E-2</v>
      </c>
      <c r="M33" s="14">
        <f t="shared" si="5"/>
        <v>1.7756475590046738E-2</v>
      </c>
      <c r="N33" s="14">
        <f t="shared" si="6"/>
        <v>5.344873400212577E-2</v>
      </c>
      <c r="O33" s="14">
        <f t="shared" si="7"/>
        <v>0.14507230529549656</v>
      </c>
      <c r="P33" s="14">
        <f t="shared" si="8"/>
        <v>7.0521308658872184E-2</v>
      </c>
    </row>
    <row r="34" spans="1:16" x14ac:dyDescent="0.2">
      <c r="A34" s="9">
        <v>1991</v>
      </c>
      <c r="B34" s="11">
        <v>34689.423999999999</v>
      </c>
      <c r="C34" s="12">
        <f>dep_pre_eng_2010!C35+dep_pre_eng_2010!E35+dep_pre_eng_2010!F35</f>
        <v>61820.260999999999</v>
      </c>
      <c r="D34" s="13">
        <f>dep_pre_eng_2010!Q35</f>
        <v>5726.4589999999998</v>
      </c>
      <c r="E34" s="13">
        <f>dep_pre_eng_2010!R35</f>
        <v>2619.83</v>
      </c>
      <c r="F34" s="13">
        <f>dep_pre_eng_2010!S35</f>
        <v>7396.6549999999997</v>
      </c>
      <c r="G34" s="13">
        <f>dep_pre_eng_2010!T35</f>
        <v>20174.006000000001</v>
      </c>
      <c r="H34" s="13">
        <f>dep_pre_eng_2010!Y35</f>
        <v>9436.9879999999994</v>
      </c>
      <c r="I34" s="13">
        <f t="shared" si="1"/>
        <v>141863.62300000002</v>
      </c>
      <c r="J34" s="14">
        <f t="shared" si="2"/>
        <v>0.24452656196437331</v>
      </c>
      <c r="K34" s="14">
        <f t="shared" si="3"/>
        <v>0.43577246719548385</v>
      </c>
      <c r="L34" s="14">
        <f t="shared" si="4"/>
        <v>4.0365943565391665E-2</v>
      </c>
      <c r="M34" s="14">
        <f t="shared" si="5"/>
        <v>1.8467243008449034E-2</v>
      </c>
      <c r="N34" s="14">
        <f t="shared" si="6"/>
        <v>5.2139194273926014E-2</v>
      </c>
      <c r="O34" s="14">
        <f t="shared" si="7"/>
        <v>0.14220704063084585</v>
      </c>
      <c r="P34" s="14">
        <f t="shared" si="8"/>
        <v>6.6521549361530111E-2</v>
      </c>
    </row>
    <row r="35" spans="1:16" x14ac:dyDescent="0.2">
      <c r="A35" s="9">
        <v>1992</v>
      </c>
      <c r="B35" s="11">
        <v>35015.745999999999</v>
      </c>
      <c r="C35" s="12">
        <f>dep_pre_eng_2010!C36+dep_pre_eng_2010!E36+dep_pre_eng_2010!F36</f>
        <v>62657.132999999994</v>
      </c>
      <c r="D35" s="13">
        <f>dep_pre_eng_2010!Q36</f>
        <v>5977.42</v>
      </c>
      <c r="E35" s="13">
        <f>dep_pre_eng_2010!R36</f>
        <v>2768.11</v>
      </c>
      <c r="F35" s="13">
        <f>dep_pre_eng_2010!S36</f>
        <v>7373.5240000000003</v>
      </c>
      <c r="G35" s="13">
        <f>dep_pre_eng_2010!T36</f>
        <v>20175.796999999999</v>
      </c>
      <c r="H35" s="13">
        <f>dep_pre_eng_2010!Y36</f>
        <v>9431.02</v>
      </c>
      <c r="I35" s="13">
        <f t="shared" si="1"/>
        <v>143398.74999999997</v>
      </c>
      <c r="J35" s="14">
        <f t="shared" si="2"/>
        <v>0.24418445767484032</v>
      </c>
      <c r="K35" s="14">
        <f t="shared" si="3"/>
        <v>0.43694336945057055</v>
      </c>
      <c r="L35" s="14">
        <f t="shared" si="4"/>
        <v>4.1683905891787769E-2</v>
      </c>
      <c r="M35" s="14">
        <f t="shared" si="5"/>
        <v>1.9303585282298492E-2</v>
      </c>
      <c r="N35" s="14">
        <f t="shared" si="6"/>
        <v>5.1419722975270019E-2</v>
      </c>
      <c r="O35" s="14">
        <f t="shared" si="7"/>
        <v>0.14069716088878043</v>
      </c>
      <c r="P35" s="14">
        <f t="shared" si="8"/>
        <v>6.5767797836452563E-2</v>
      </c>
    </row>
    <row r="36" spans="1:16" x14ac:dyDescent="0.2">
      <c r="A36" s="9">
        <v>1993</v>
      </c>
      <c r="B36" s="11">
        <v>35249.190999999999</v>
      </c>
      <c r="C36" s="12">
        <f>dep_pre_eng_2010!C37+dep_pre_eng_2010!E37+dep_pre_eng_2010!F37</f>
        <v>62893.868000000002</v>
      </c>
      <c r="D36" s="13">
        <f>dep_pre_eng_2010!Q37</f>
        <v>6252.2070000000003</v>
      </c>
      <c r="E36" s="13">
        <f>dep_pre_eng_2010!R37</f>
        <v>2911.2220000000002</v>
      </c>
      <c r="F36" s="13">
        <f>dep_pre_eng_2010!S37</f>
        <v>7286.201</v>
      </c>
      <c r="G36" s="13">
        <f>dep_pre_eng_2010!T37</f>
        <v>20114.292000000001</v>
      </c>
      <c r="H36" s="13">
        <f>dep_pre_eng_2010!Y37</f>
        <v>9635.7759999999998</v>
      </c>
      <c r="I36" s="13">
        <f t="shared" si="1"/>
        <v>144342.75700000001</v>
      </c>
      <c r="J36" s="14">
        <f t="shared" si="2"/>
        <v>0.24420477849124078</v>
      </c>
      <c r="K36" s="14">
        <f t="shared" si="3"/>
        <v>0.43572583278286692</v>
      </c>
      <c r="L36" s="14">
        <f t="shared" si="4"/>
        <v>4.3315003329193719E-2</v>
      </c>
      <c r="M36" s="14">
        <f t="shared" si="5"/>
        <v>2.0168812488457595E-2</v>
      </c>
      <c r="N36" s="14">
        <f t="shared" si="6"/>
        <v>5.0478466335515539E-2</v>
      </c>
      <c r="O36" s="14">
        <f t="shared" si="7"/>
        <v>0.13935089240397425</v>
      </c>
      <c r="P36" s="14">
        <f t="shared" si="8"/>
        <v>6.6756214168751118E-2</v>
      </c>
    </row>
    <row r="37" spans="1:16" x14ac:dyDescent="0.2">
      <c r="A37" s="9">
        <v>1994</v>
      </c>
      <c r="B37" s="11">
        <v>34053.785000000003</v>
      </c>
      <c r="C37" s="12">
        <f>dep_pre_eng_2010!C38+dep_pre_eng_2010!E38+dep_pre_eng_2010!F38</f>
        <v>64029.235000000001</v>
      </c>
      <c r="D37" s="13">
        <f>dep_pre_eng_2010!Q38</f>
        <v>6505.3590000000004</v>
      </c>
      <c r="E37" s="13">
        <f>dep_pre_eng_2010!R38</f>
        <v>3040.46</v>
      </c>
      <c r="F37" s="13">
        <f>dep_pre_eng_2010!S38</f>
        <v>7284.0529999999999</v>
      </c>
      <c r="G37" s="13">
        <f>dep_pre_eng_2010!T38</f>
        <v>19737.664000000001</v>
      </c>
      <c r="H37" s="13">
        <f>dep_pre_eng_2010!Y38</f>
        <v>9961.5349999999999</v>
      </c>
      <c r="I37" s="13">
        <f t="shared" si="1"/>
        <v>144612.09100000001</v>
      </c>
      <c r="J37" s="14">
        <f t="shared" si="2"/>
        <v>0.23548366367235504</v>
      </c>
      <c r="K37" s="14">
        <f t="shared" si="3"/>
        <v>0.44276543238697791</v>
      </c>
      <c r="L37" s="14">
        <f t="shared" si="4"/>
        <v>4.4984889956400667E-2</v>
      </c>
      <c r="M37" s="14">
        <f t="shared" si="5"/>
        <v>2.1024936289732506E-2</v>
      </c>
      <c r="N37" s="14">
        <f t="shared" si="6"/>
        <v>5.0369598763356511E-2</v>
      </c>
      <c r="O37" s="14">
        <f t="shared" si="7"/>
        <v>0.13648695529891755</v>
      </c>
      <c r="P37" s="14">
        <f t="shared" si="8"/>
        <v>6.8884523632259761E-2</v>
      </c>
    </row>
    <row r="38" spans="1:16" x14ac:dyDescent="0.2">
      <c r="A38" s="9">
        <v>1995</v>
      </c>
      <c r="B38" s="11">
        <v>35178</v>
      </c>
      <c r="C38" s="12">
        <f>dep_pre_eng_2010!C39+dep_pre_eng_2010!E39+dep_pre_eng_2010!F39</f>
        <v>65229.718999999997</v>
      </c>
      <c r="D38" s="13">
        <f>dep_pre_eng_2010!Q39</f>
        <v>6769.9690000000001</v>
      </c>
      <c r="E38" s="13">
        <f>dep_pre_eng_2010!R39</f>
        <v>3189.1350000000002</v>
      </c>
      <c r="F38" s="13">
        <f>dep_pre_eng_2010!S39</f>
        <v>6959.8429999999998</v>
      </c>
      <c r="G38" s="13">
        <f>dep_pre_eng_2010!T39</f>
        <v>20464.853999999999</v>
      </c>
      <c r="H38" s="13">
        <f>dep_pre_eng_2010!Y39</f>
        <v>10458.914000000001</v>
      </c>
      <c r="I38" s="13">
        <f t="shared" si="1"/>
        <v>148250.43399999998</v>
      </c>
      <c r="J38" s="14">
        <f t="shared" si="2"/>
        <v>0.23728766959292683</v>
      </c>
      <c r="K38" s="14">
        <f t="shared" si="3"/>
        <v>0.43999681646800443</v>
      </c>
      <c r="L38" s="14">
        <f t="shared" si="4"/>
        <v>4.5665761760940282E-2</v>
      </c>
      <c r="M38" s="14">
        <f t="shared" si="5"/>
        <v>2.1511808862562931E-2</v>
      </c>
      <c r="N38" s="14">
        <f t="shared" si="6"/>
        <v>4.6946526982848499E-2</v>
      </c>
      <c r="O38" s="14">
        <f t="shared" si="7"/>
        <v>0.13804245591618303</v>
      </c>
      <c r="P38" s="14">
        <f t="shared" si="8"/>
        <v>7.0548960416534107E-2</v>
      </c>
    </row>
    <row r="39" spans="1:16" x14ac:dyDescent="0.2">
      <c r="A39" s="9">
        <v>1996</v>
      </c>
      <c r="B39" s="11">
        <v>37210.648000000001</v>
      </c>
      <c r="C39" s="12">
        <f>dep_pre_eng_2010!C40+dep_pre_eng_2010!E40+dep_pre_eng_2010!F40</f>
        <v>66277.721999999994</v>
      </c>
      <c r="D39" s="13">
        <f>dep_pre_eng_2010!Q40</f>
        <v>7138.0169999999998</v>
      </c>
      <c r="E39" s="13">
        <f>dep_pre_eng_2010!R40</f>
        <v>3366.3319999999999</v>
      </c>
      <c r="F39" s="13">
        <f>dep_pre_eng_2010!S40</f>
        <v>7425.2110000000002</v>
      </c>
      <c r="G39" s="13">
        <f>dep_pre_eng_2010!T40</f>
        <v>20838.764999999999</v>
      </c>
      <c r="H39" s="13">
        <f>dep_pre_eng_2010!Y40</f>
        <v>10941.466</v>
      </c>
      <c r="I39" s="13">
        <f t="shared" si="1"/>
        <v>153198.16099999996</v>
      </c>
      <c r="J39" s="14">
        <f t="shared" si="2"/>
        <v>0.2428922629169159</v>
      </c>
      <c r="K39" s="14">
        <f t="shared" si="3"/>
        <v>0.43262739948947565</v>
      </c>
      <c r="L39" s="14">
        <f t="shared" si="4"/>
        <v>4.6593359563891906E-2</v>
      </c>
      <c r="M39" s="14">
        <f t="shared" si="5"/>
        <v>2.1973710245777694E-2</v>
      </c>
      <c r="N39" s="14">
        <f t="shared" si="6"/>
        <v>4.8468016531869482E-2</v>
      </c>
      <c r="O39" s="14">
        <f t="shared" si="7"/>
        <v>0.13602490306655837</v>
      </c>
      <c r="P39" s="14">
        <f t="shared" si="8"/>
        <v>7.1420348185511198E-2</v>
      </c>
    </row>
    <row r="40" spans="1:16" x14ac:dyDescent="0.2">
      <c r="A40" s="9">
        <v>1997</v>
      </c>
      <c r="B40" s="11">
        <v>35578.953000000001</v>
      </c>
      <c r="C40" s="12">
        <f>dep_pre_eng_2010!C41+dep_pre_eng_2010!E41+dep_pre_eng_2010!F41</f>
        <v>67149.331999999995</v>
      </c>
      <c r="D40" s="13">
        <f>dep_pre_eng_2010!Q41</f>
        <v>7461.1319999999996</v>
      </c>
      <c r="E40" s="13">
        <f>dep_pre_eng_2010!R41</f>
        <v>3618.002</v>
      </c>
      <c r="F40" s="13">
        <f>dep_pre_eng_2010!S41</f>
        <v>7610.8549999999996</v>
      </c>
      <c r="G40" s="13">
        <f>dep_pre_eng_2010!T41</f>
        <v>20831.562000000002</v>
      </c>
      <c r="H40" s="13">
        <f>dep_pre_eng_2010!Y41</f>
        <v>11440.018</v>
      </c>
      <c r="I40" s="13">
        <f t="shared" si="1"/>
        <v>153689.85399999999</v>
      </c>
      <c r="J40" s="14">
        <f t="shared" si="2"/>
        <v>0.23149838505279602</v>
      </c>
      <c r="K40" s="14">
        <f t="shared" si="3"/>
        <v>0.43691454089090354</v>
      </c>
      <c r="L40" s="14">
        <f t="shared" si="4"/>
        <v>4.8546678949932504E-2</v>
      </c>
      <c r="M40" s="14">
        <f t="shared" si="5"/>
        <v>2.3540929383666406E-2</v>
      </c>
      <c r="N40" s="14">
        <f t="shared" si="6"/>
        <v>4.9520868176503051E-2</v>
      </c>
      <c r="O40" s="14">
        <f t="shared" si="7"/>
        <v>0.13554285763066704</v>
      </c>
      <c r="P40" s="14">
        <f t="shared" si="8"/>
        <v>7.4435739915531443E-2</v>
      </c>
    </row>
    <row r="41" spans="1:16" x14ac:dyDescent="0.2">
      <c r="A41" s="9">
        <v>1998</v>
      </c>
      <c r="B41" s="11">
        <v>37386.879000000001</v>
      </c>
      <c r="C41" s="12">
        <f>dep_pre_eng_2010!C42+dep_pre_eng_2010!E42+dep_pre_eng_2010!F42</f>
        <v>67964.429000000004</v>
      </c>
      <c r="D41" s="13">
        <f>dep_pre_eng_2010!Q42</f>
        <v>8634.4050000000007</v>
      </c>
      <c r="E41" s="13">
        <f>dep_pre_eng_2010!R42</f>
        <v>3819.6840000000002</v>
      </c>
      <c r="F41" s="13">
        <f>dep_pre_eng_2010!S42</f>
        <v>7685.4380000000001</v>
      </c>
      <c r="G41" s="13">
        <f>dep_pre_eng_2010!T42</f>
        <v>21293.530999999999</v>
      </c>
      <c r="H41" s="13">
        <f>dep_pre_eng_2010!Y42</f>
        <v>11885.178</v>
      </c>
      <c r="I41" s="13">
        <f t="shared" si="1"/>
        <v>158669.54399999999</v>
      </c>
      <c r="J41" s="14">
        <f>B41/$I41</f>
        <v>0.23562731736343809</v>
      </c>
      <c r="K41" s="14">
        <f t="shared" si="3"/>
        <v>0.42833947389424654</v>
      </c>
      <c r="L41" s="14">
        <f t="shared" si="4"/>
        <v>5.4417532075342709E-2</v>
      </c>
      <c r="M41" s="14">
        <f t="shared" si="5"/>
        <v>2.4073202101091311E-2</v>
      </c>
      <c r="N41" s="14">
        <f t="shared" si="6"/>
        <v>4.8436756079667062E-2</v>
      </c>
      <c r="O41" s="14">
        <f t="shared" si="7"/>
        <v>0.13420049281795376</v>
      </c>
      <c r="P41" s="14">
        <f t="shared" si="8"/>
        <v>7.4905225668260578E-2</v>
      </c>
    </row>
    <row r="42" spans="1:16" x14ac:dyDescent="0.2">
      <c r="A42" s="9">
        <v>1999</v>
      </c>
      <c r="B42" s="11">
        <v>37736.258000000002</v>
      </c>
      <c r="C42" s="12">
        <f>dep_pre_eng_2010!C43+dep_pre_eng_2010!E43+dep_pre_eng_2010!F43</f>
        <v>68633.338999999993</v>
      </c>
      <c r="D42" s="13">
        <f>dep_pre_eng_2010!Q43</f>
        <v>10820.052</v>
      </c>
      <c r="E42" s="13">
        <f>dep_pre_eng_2010!R43</f>
        <v>4236.0720000000001</v>
      </c>
      <c r="F42" s="13">
        <f>dep_pre_eng_2010!S43</f>
        <v>7962.116</v>
      </c>
      <c r="G42" s="13">
        <f>dep_pre_eng_2010!T43</f>
        <v>21127.442999999999</v>
      </c>
      <c r="H42" s="13">
        <f>dep_pre_eng_2010!Y43</f>
        <v>12567.687</v>
      </c>
      <c r="I42" s="13">
        <f t="shared" si="1"/>
        <v>163082.96699999998</v>
      </c>
      <c r="J42" s="14">
        <f t="shared" ref="J42:J59" si="9">B42/$I42</f>
        <v>0.23139300623589959</v>
      </c>
      <c r="K42" s="14">
        <f t="shared" ref="K42:K59" si="10">C42/$I42</f>
        <v>0.42084921719629986</v>
      </c>
      <c r="L42" s="14">
        <f t="shared" ref="L42:L59" si="11">D42/$I42</f>
        <v>6.6346916536047573E-2</v>
      </c>
      <c r="M42" s="14">
        <f t="shared" ref="M42:M59" si="12">E42/$I42</f>
        <v>2.5974950529321684E-2</v>
      </c>
      <c r="N42" s="14">
        <f t="shared" ref="N42:N59" si="13">F42/$I42</f>
        <v>4.8822486777543118E-2</v>
      </c>
      <c r="O42" s="14">
        <f t="shared" ref="O42:O59" si="14">G42/$I42</f>
        <v>0.12955027363464636</v>
      </c>
      <c r="P42" s="14">
        <f t="shared" ref="P42:P59" si="15">H42/$I42</f>
        <v>7.7063149090241909E-2</v>
      </c>
    </row>
    <row r="43" spans="1:16" x14ac:dyDescent="0.2">
      <c r="A43" s="9">
        <v>2000</v>
      </c>
      <c r="B43" s="11">
        <v>37638.898000000001</v>
      </c>
      <c r="C43" s="12">
        <f>dep_pre_eng_2010!C44+dep_pre_eng_2010!E44+dep_pre_eng_2010!F44</f>
        <v>70503.885999999999</v>
      </c>
      <c r="D43" s="13">
        <f>dep_pre_eng_2010!Q44</f>
        <v>13925.375</v>
      </c>
      <c r="E43" s="13">
        <f>dep_pre_eng_2010!R44</f>
        <v>4531.2089999999998</v>
      </c>
      <c r="F43" s="13">
        <f>dep_pre_eng_2010!S44</f>
        <v>8113.3230000000003</v>
      </c>
      <c r="G43" s="13">
        <f>dep_pre_eng_2010!T44</f>
        <v>21377.1</v>
      </c>
      <c r="H43" s="13">
        <f>dep_pre_eng_2010!Y44</f>
        <v>13225.786</v>
      </c>
      <c r="I43" s="13">
        <f t="shared" si="1"/>
        <v>169315.57699999999</v>
      </c>
      <c r="J43" s="14">
        <f t="shared" si="9"/>
        <v>0.22230026715143877</v>
      </c>
      <c r="K43" s="14">
        <f t="shared" si="10"/>
        <v>0.41640519584326258</v>
      </c>
      <c r="L43" s="14">
        <f t="shared" si="11"/>
        <v>8.2245090775079729E-2</v>
      </c>
      <c r="M43" s="14">
        <f t="shared" si="12"/>
        <v>2.6761914528395696E-2</v>
      </c>
      <c r="N43" s="14">
        <f t="shared" si="13"/>
        <v>4.7918349532600893E-2</v>
      </c>
      <c r="O43" s="14">
        <f t="shared" si="14"/>
        <v>0.1262559557647788</v>
      </c>
      <c r="P43" s="14">
        <f t="shared" si="15"/>
        <v>7.8113226404443584E-2</v>
      </c>
    </row>
    <row r="44" spans="1:16" x14ac:dyDescent="0.2">
      <c r="A44" s="9">
        <v>2001</v>
      </c>
      <c r="B44" s="11">
        <v>40095.252999999997</v>
      </c>
      <c r="C44" s="12">
        <f>dep_pre_eng_2010!C45+dep_pre_eng_2010!E45+dep_pre_eng_2010!F45</f>
        <v>70907.667000000001</v>
      </c>
      <c r="D44" s="13">
        <f>dep_pre_eng_2010!Q45</f>
        <v>16505.887999999999</v>
      </c>
      <c r="E44" s="13">
        <f>dep_pre_eng_2010!R45</f>
        <v>4965.7860000000001</v>
      </c>
      <c r="F44" s="13">
        <f>dep_pre_eng_2010!S45</f>
        <v>8417.1170000000002</v>
      </c>
      <c r="G44" s="13">
        <f>dep_pre_eng_2010!T45</f>
        <v>22065.9</v>
      </c>
      <c r="H44" s="13">
        <f>dep_pre_eng_2010!Y45</f>
        <v>13344.903</v>
      </c>
      <c r="I44" s="13">
        <f t="shared" si="1"/>
        <v>176302.51399999997</v>
      </c>
      <c r="J44" s="14">
        <f t="shared" si="9"/>
        <v>0.2274230360662923</v>
      </c>
      <c r="K44" s="14">
        <f t="shared" si="10"/>
        <v>0.4021931700871833</v>
      </c>
      <c r="L44" s="14">
        <f t="shared" si="11"/>
        <v>9.3622533368979646E-2</v>
      </c>
      <c r="M44" s="14">
        <f t="shared" si="12"/>
        <v>2.8166280147315433E-2</v>
      </c>
      <c r="N44" s="14">
        <f t="shared" si="13"/>
        <v>4.7742467245815913E-2</v>
      </c>
      <c r="O44" s="14">
        <f t="shared" si="14"/>
        <v>0.12515930430804864</v>
      </c>
      <c r="P44" s="14">
        <f t="shared" si="15"/>
        <v>7.5693208776364942E-2</v>
      </c>
    </row>
    <row r="45" spans="1:16" x14ac:dyDescent="0.2">
      <c r="A45" s="9">
        <v>2002</v>
      </c>
      <c r="B45" s="11">
        <v>38722.432999999997</v>
      </c>
      <c r="C45" s="12">
        <f>dep_pre_eng_2010!C46+dep_pre_eng_2010!E46+dep_pre_eng_2010!F46</f>
        <v>71821.543999999994</v>
      </c>
      <c r="D45" s="13">
        <f>dep_pre_eng_2010!Q46</f>
        <v>19193.851999999999</v>
      </c>
      <c r="E45" s="13">
        <f>dep_pre_eng_2010!R46</f>
        <v>5053.2730000000001</v>
      </c>
      <c r="F45" s="13">
        <f>dep_pre_eng_2010!S46</f>
        <v>8880.9</v>
      </c>
      <c r="G45" s="13">
        <f>dep_pre_eng_2010!T46</f>
        <v>22995.775000000001</v>
      </c>
      <c r="H45" s="13">
        <f>dep_pre_eng_2010!Y46</f>
        <v>13891.026</v>
      </c>
      <c r="I45" s="13">
        <f t="shared" si="1"/>
        <v>180558.80299999999</v>
      </c>
      <c r="J45" s="14">
        <f t="shared" si="9"/>
        <v>0.21445884862229619</v>
      </c>
      <c r="K45" s="14">
        <f t="shared" si="10"/>
        <v>0.39777370478026486</v>
      </c>
      <c r="L45" s="14">
        <f t="shared" si="11"/>
        <v>0.10630249913652784</v>
      </c>
      <c r="M45" s="14">
        <f t="shared" si="12"/>
        <v>2.7986854786581635E-2</v>
      </c>
      <c r="N45" s="14">
        <f t="shared" si="13"/>
        <v>4.9185638431597269E-2</v>
      </c>
      <c r="O45" s="14">
        <f t="shared" si="14"/>
        <v>0.12735892472658894</v>
      </c>
      <c r="P45" s="14">
        <f t="shared" si="15"/>
        <v>7.6933529516143281E-2</v>
      </c>
    </row>
    <row r="46" spans="1:16" x14ac:dyDescent="0.2">
      <c r="A46" s="9">
        <v>2003</v>
      </c>
      <c r="B46" s="11">
        <v>41004.815000000002</v>
      </c>
      <c r="C46" s="12">
        <f>dep_pre_eng_2010!C47+dep_pre_eng_2010!E47+dep_pre_eng_2010!F47</f>
        <v>72721.827000000005</v>
      </c>
      <c r="D46" s="13">
        <f>dep_pre_eng_2010!Q47</f>
        <v>20630.186000000002</v>
      </c>
      <c r="E46" s="13">
        <f>dep_pre_eng_2010!R47</f>
        <v>5343.5720000000001</v>
      </c>
      <c r="F46" s="13">
        <f>dep_pre_eng_2010!S47</f>
        <v>8841.4150000000009</v>
      </c>
      <c r="G46" s="13">
        <f>dep_pre_eng_2010!T47</f>
        <v>23633.317999999999</v>
      </c>
      <c r="H46" s="13">
        <f>dep_pre_eng_2010!Y47</f>
        <v>13561.032999999999</v>
      </c>
      <c r="I46" s="13">
        <f t="shared" si="1"/>
        <v>185736.16600000003</v>
      </c>
      <c r="J46" s="14">
        <f t="shared" si="9"/>
        <v>0.2207691473506565</v>
      </c>
      <c r="K46" s="14">
        <f t="shared" si="10"/>
        <v>0.3915329392553521</v>
      </c>
      <c r="L46" s="14">
        <f t="shared" si="11"/>
        <v>0.11107253069927156</v>
      </c>
      <c r="M46" s="14">
        <f t="shared" si="12"/>
        <v>2.8769690443594058E-2</v>
      </c>
      <c r="N46" s="14">
        <f t="shared" si="13"/>
        <v>4.7602010908311738E-2</v>
      </c>
      <c r="O46" s="14">
        <f t="shared" si="14"/>
        <v>0.12724133650955191</v>
      </c>
      <c r="P46" s="14">
        <f t="shared" si="15"/>
        <v>7.3012344833262022E-2</v>
      </c>
    </row>
    <row r="47" spans="1:16" x14ac:dyDescent="0.2">
      <c r="A47" s="9">
        <v>2004</v>
      </c>
      <c r="B47" s="11">
        <v>42449.065000000002</v>
      </c>
      <c r="C47" s="12">
        <f>dep_pre_eng_2010!C48+dep_pre_eng_2010!E48+dep_pre_eng_2010!F48</f>
        <v>73644.989000000001</v>
      </c>
      <c r="D47" s="13">
        <f>dep_pre_eng_2010!Q48</f>
        <v>21746.481</v>
      </c>
      <c r="E47" s="13">
        <f>dep_pre_eng_2010!R48</f>
        <v>5443.5039999999999</v>
      </c>
      <c r="F47" s="13">
        <f>dep_pre_eng_2010!S48</f>
        <v>8992.3829999999998</v>
      </c>
      <c r="G47" s="13">
        <f>dep_pre_eng_2010!T48</f>
        <v>24006.871999999999</v>
      </c>
      <c r="H47" s="13">
        <f>dep_pre_eng_2010!Y48</f>
        <v>14092.097</v>
      </c>
      <c r="I47" s="13">
        <f t="shared" si="1"/>
        <v>190375.391</v>
      </c>
      <c r="J47" s="14">
        <f t="shared" si="9"/>
        <v>0.22297558931868458</v>
      </c>
      <c r="K47" s="14">
        <f t="shared" si="10"/>
        <v>0.3868409073943806</v>
      </c>
      <c r="L47" s="14">
        <f t="shared" si="11"/>
        <v>0.1142294751741311</v>
      </c>
      <c r="M47" s="14">
        <f t="shared" si="12"/>
        <v>2.8593527616182283E-2</v>
      </c>
      <c r="N47" s="14">
        <f t="shared" si="13"/>
        <v>4.7235007386012405E-2</v>
      </c>
      <c r="O47" s="14">
        <f t="shared" si="14"/>
        <v>0.12610281126093656</v>
      </c>
      <c r="P47" s="14">
        <f t="shared" si="15"/>
        <v>7.4022681849672464E-2</v>
      </c>
    </row>
    <row r="48" spans="1:16" x14ac:dyDescent="0.2">
      <c r="A48" s="9">
        <v>2005</v>
      </c>
      <c r="B48" s="11">
        <v>42360.972000000002</v>
      </c>
      <c r="C48" s="12">
        <f>dep_pre_eng_2010!C49+dep_pre_eng_2010!E49+dep_pre_eng_2010!F49</f>
        <v>74865.285000000003</v>
      </c>
      <c r="D48" s="13">
        <f>dep_pre_eng_2010!Q49</f>
        <v>23072.453000000001</v>
      </c>
      <c r="E48" s="13">
        <f>dep_pre_eng_2010!R49</f>
        <v>5695.6970000000001</v>
      </c>
      <c r="F48" s="13">
        <f>dep_pre_eng_2010!S49</f>
        <v>9153.5329999999994</v>
      </c>
      <c r="G48" s="13">
        <f>dep_pre_eng_2010!T49</f>
        <v>24955.646000000001</v>
      </c>
      <c r="H48" s="13">
        <f>dep_pre_eng_2010!Y49</f>
        <v>14494.630999999999</v>
      </c>
      <c r="I48" s="13">
        <f t="shared" si="1"/>
        <v>194598.217</v>
      </c>
      <c r="J48" s="14">
        <f t="shared" si="9"/>
        <v>0.21768427611029961</v>
      </c>
      <c r="K48" s="14">
        <f t="shared" si="10"/>
        <v>0.38471721968552264</v>
      </c>
      <c r="L48" s="14">
        <f t="shared" si="11"/>
        <v>0.11856456526526141</v>
      </c>
      <c r="M48" s="14">
        <f t="shared" si="12"/>
        <v>2.9269009181106732E-2</v>
      </c>
      <c r="N48" s="14">
        <f t="shared" si="13"/>
        <v>4.7038113406763636E-2</v>
      </c>
      <c r="O48" s="14">
        <f t="shared" si="14"/>
        <v>0.12824190470357702</v>
      </c>
      <c r="P48" s="14">
        <f t="shared" si="15"/>
        <v>7.4484911647468996E-2</v>
      </c>
    </row>
    <row r="49" spans="1:16" x14ac:dyDescent="0.2">
      <c r="A49" s="9">
        <v>2006</v>
      </c>
      <c r="B49" s="11">
        <v>42318.595999999998</v>
      </c>
      <c r="C49" s="12">
        <f>dep_pre_eng_2010!C50+dep_pre_eng_2010!E50+dep_pre_eng_2010!F50</f>
        <v>76361.748999999996</v>
      </c>
      <c r="D49" s="13">
        <f>dep_pre_eng_2010!Q50</f>
        <v>24712.816999999999</v>
      </c>
      <c r="E49" s="13">
        <f>dep_pre_eng_2010!R50</f>
        <v>5761.4219999999996</v>
      </c>
      <c r="F49" s="13">
        <f>dep_pre_eng_2010!S50</f>
        <v>9343.4310000000005</v>
      </c>
      <c r="G49" s="13">
        <f>dep_pre_eng_2010!T50</f>
        <v>25415.901000000002</v>
      </c>
      <c r="H49" s="13">
        <f>dep_pre_eng_2010!Y50</f>
        <v>14652.633</v>
      </c>
      <c r="I49" s="13">
        <f t="shared" si="1"/>
        <v>198566.54900000003</v>
      </c>
      <c r="J49" s="14">
        <f t="shared" si="9"/>
        <v>0.21312046874521645</v>
      </c>
      <c r="K49" s="14">
        <f t="shared" si="10"/>
        <v>0.38456502056648012</v>
      </c>
      <c r="L49" s="14">
        <f t="shared" si="11"/>
        <v>0.12445609355884005</v>
      </c>
      <c r="M49" s="14">
        <f t="shared" si="12"/>
        <v>2.9015068394022393E-2</v>
      </c>
      <c r="N49" s="14">
        <f t="shared" si="13"/>
        <v>4.7054405926146195E-2</v>
      </c>
      <c r="O49" s="14">
        <f t="shared" si="14"/>
        <v>0.12799689135958139</v>
      </c>
      <c r="P49" s="14">
        <f t="shared" si="15"/>
        <v>7.3792051449713209E-2</v>
      </c>
    </row>
    <row r="50" spans="1:16" x14ac:dyDescent="0.2">
      <c r="A50" s="9">
        <v>2007</v>
      </c>
      <c r="B50" s="11">
        <v>40775.853000000003</v>
      </c>
      <c r="C50" s="12">
        <f>dep_pre_eng_2010!C51+dep_pre_eng_2010!E51+dep_pre_eng_2010!F51</f>
        <v>77850.934999999998</v>
      </c>
      <c r="D50" s="13">
        <f>dep_pre_eng_2010!Q51</f>
        <v>26223.432000000001</v>
      </c>
      <c r="E50" s="13">
        <f>dep_pre_eng_2010!R51</f>
        <v>5810.1409999999996</v>
      </c>
      <c r="F50" s="13">
        <f>dep_pre_eng_2010!S51</f>
        <v>9654.0329999999994</v>
      </c>
      <c r="G50" s="13">
        <f>dep_pre_eng_2010!T51</f>
        <v>25585.107</v>
      </c>
      <c r="H50" s="13">
        <f>dep_pre_eng_2010!Y51</f>
        <v>15221.364</v>
      </c>
      <c r="I50" s="13">
        <f t="shared" si="1"/>
        <v>201120.86499999999</v>
      </c>
      <c r="J50" s="14">
        <f t="shared" si="9"/>
        <v>0.20274302718417606</v>
      </c>
      <c r="K50" s="14">
        <f t="shared" si="10"/>
        <v>0.38708532304691512</v>
      </c>
      <c r="L50" s="14">
        <f t="shared" si="11"/>
        <v>0.13038643205915013</v>
      </c>
      <c r="M50" s="14">
        <f t="shared" si="12"/>
        <v>2.8888802760469432E-2</v>
      </c>
      <c r="N50" s="14">
        <f t="shared" si="13"/>
        <v>4.8001150949703801E-2</v>
      </c>
      <c r="O50" s="14">
        <f t="shared" si="14"/>
        <v>0.12721259427757534</v>
      </c>
      <c r="P50" s="14">
        <f t="shared" si="15"/>
        <v>7.5682669722010196E-2</v>
      </c>
    </row>
    <row r="51" spans="1:16" x14ac:dyDescent="0.2">
      <c r="A51" s="9">
        <v>2008</v>
      </c>
      <c r="B51" s="11">
        <v>42586.684999999998</v>
      </c>
      <c r="C51" s="12">
        <f>dep_pre_eng_2010!C52+dep_pre_eng_2010!E52+dep_pre_eng_2010!F52</f>
        <v>77941.786999999997</v>
      </c>
      <c r="D51" s="13">
        <f>dep_pre_eng_2010!Q52</f>
        <v>27532.608</v>
      </c>
      <c r="E51" s="13">
        <f>dep_pre_eng_2010!R52</f>
        <v>5937.3919999999998</v>
      </c>
      <c r="F51" s="13">
        <f>dep_pre_eng_2010!S52</f>
        <v>9975.4879999999994</v>
      </c>
      <c r="G51" s="13">
        <f>dep_pre_eng_2010!T52</f>
        <v>26753.958999999999</v>
      </c>
      <c r="H51" s="13">
        <f>dep_pre_eng_2010!Y52</f>
        <v>15369.678</v>
      </c>
      <c r="I51" s="13">
        <f t="shared" si="1"/>
        <v>206097.59700000001</v>
      </c>
      <c r="J51" s="14">
        <f t="shared" si="9"/>
        <v>0.20663358340854404</v>
      </c>
      <c r="K51" s="14">
        <f t="shared" si="10"/>
        <v>0.37817901874906379</v>
      </c>
      <c r="L51" s="14">
        <f t="shared" si="11"/>
        <v>0.13359014564347393</v>
      </c>
      <c r="M51" s="14">
        <f t="shared" si="12"/>
        <v>2.8808642538418337E-2</v>
      </c>
      <c r="N51" s="14">
        <f t="shared" si="13"/>
        <v>4.8401767634389248E-2</v>
      </c>
      <c r="O51" s="14">
        <f t="shared" si="14"/>
        <v>0.12981208606716554</v>
      </c>
      <c r="P51" s="14">
        <f t="shared" si="15"/>
        <v>7.4574755958945013E-2</v>
      </c>
    </row>
    <row r="52" spans="1:16" x14ac:dyDescent="0.2">
      <c r="A52" s="9">
        <v>2009</v>
      </c>
      <c r="B52" s="11">
        <v>42428.387999999999</v>
      </c>
      <c r="C52" s="12">
        <f>dep_pre_eng_2010!C53+dep_pre_eng_2010!E53+dep_pre_eng_2010!F53</f>
        <v>77724.781000000003</v>
      </c>
      <c r="D52" s="13">
        <f>dep_pre_eng_2010!Q53</f>
        <v>28781.592000000001</v>
      </c>
      <c r="E52" s="13">
        <f>dep_pre_eng_2010!R53</f>
        <v>5653.6980000000003</v>
      </c>
      <c r="F52" s="13">
        <f>dep_pre_eng_2010!S53</f>
        <v>9958.1020000000008</v>
      </c>
      <c r="G52" s="13">
        <f>dep_pre_eng_2010!T53</f>
        <v>27619.330999999998</v>
      </c>
      <c r="H52" s="13">
        <f>dep_pre_eng_2010!Y53</f>
        <v>15416.596</v>
      </c>
      <c r="I52" s="13">
        <f t="shared" si="1"/>
        <v>207582.48800000001</v>
      </c>
      <c r="J52" s="14">
        <f t="shared" si="9"/>
        <v>0.2043929062070014</v>
      </c>
      <c r="K52" s="14">
        <f t="shared" si="10"/>
        <v>0.37442841035800667</v>
      </c>
      <c r="L52" s="14">
        <f t="shared" si="11"/>
        <v>0.13865134904828774</v>
      </c>
      <c r="M52" s="14">
        <f t="shared" si="12"/>
        <v>2.723591018910998E-2</v>
      </c>
      <c r="N52" s="14">
        <f t="shared" si="13"/>
        <v>4.7971782667909829E-2</v>
      </c>
      <c r="O52" s="14">
        <f t="shared" si="14"/>
        <v>0.13305231701433309</v>
      </c>
      <c r="P52" s="14">
        <f t="shared" si="15"/>
        <v>7.4267324515351216E-2</v>
      </c>
    </row>
    <row r="53" spans="1:16" x14ac:dyDescent="0.2">
      <c r="A53" s="9">
        <v>2010</v>
      </c>
      <c r="B53" s="11">
        <v>44781.777999999998</v>
      </c>
      <c r="C53" s="12">
        <f>dep_pre_eng_2010!C54+dep_pre_eng_2010!E54+dep_pre_eng_2010!F54</f>
        <v>78427.335000000006</v>
      </c>
      <c r="D53" s="13">
        <f>dep_pre_eng_2010!Q54</f>
        <v>30483.713</v>
      </c>
      <c r="E53" s="13">
        <f>dep_pre_eng_2010!R54</f>
        <v>5686.0479999999998</v>
      </c>
      <c r="F53" s="13">
        <f>dep_pre_eng_2010!S54</f>
        <v>10094.911</v>
      </c>
      <c r="G53" s="13">
        <f>dep_pre_eng_2010!T54</f>
        <v>27111</v>
      </c>
      <c r="H53" s="13">
        <f>dep_pre_eng_2010!Y54</f>
        <v>15415</v>
      </c>
      <c r="I53" s="13">
        <f t="shared" si="1"/>
        <v>211999.785</v>
      </c>
      <c r="J53" s="14">
        <f t="shared" si="9"/>
        <v>0.2112350161109833</v>
      </c>
      <c r="K53" s="14">
        <f t="shared" si="10"/>
        <v>0.36994063460960586</v>
      </c>
      <c r="L53" s="14">
        <f t="shared" si="11"/>
        <v>0.14379124488263043</v>
      </c>
      <c r="M53" s="14">
        <f t="shared" si="12"/>
        <v>2.6821008332626375E-2</v>
      </c>
      <c r="N53" s="14">
        <f t="shared" si="13"/>
        <v>4.7617553008367439E-2</v>
      </c>
      <c r="O53" s="14">
        <f t="shared" si="14"/>
        <v>0.12788220516355711</v>
      </c>
      <c r="P53" s="14">
        <f t="shared" si="15"/>
        <v>7.2712337892229459E-2</v>
      </c>
    </row>
    <row r="54" spans="1:16" x14ac:dyDescent="0.2">
      <c r="A54" s="9">
        <v>2011</v>
      </c>
      <c r="B54" s="11">
        <v>40157.296000000002</v>
      </c>
      <c r="C54" s="12">
        <f>dep_pre_eng_2010!C55+dep_pre_eng_2010!E55+dep_pre_eng_2010!F55</f>
        <v>79131.232999999993</v>
      </c>
      <c r="D54" s="13">
        <f>dep_pre_eng_2010!Q55</f>
        <v>31329.019</v>
      </c>
      <c r="E54" s="13">
        <f>dep_pre_eng_2010!R55</f>
        <v>5654.2139999999999</v>
      </c>
      <c r="F54" s="13">
        <f>dep_pre_eng_2010!S55</f>
        <v>10266.203</v>
      </c>
      <c r="G54" s="13">
        <f>dep_pre_eng_2010!T55</f>
        <v>27220</v>
      </c>
      <c r="H54" s="13">
        <f>dep_pre_eng_2010!Y55</f>
        <v>15584</v>
      </c>
      <c r="I54" s="13">
        <f t="shared" si="1"/>
        <v>209341.96500000003</v>
      </c>
      <c r="J54" s="14">
        <f t="shared" si="9"/>
        <v>0.19182630677991389</v>
      </c>
      <c r="K54" s="14">
        <f t="shared" si="10"/>
        <v>0.3779998577924879</v>
      </c>
      <c r="L54" s="14">
        <f t="shared" si="11"/>
        <v>0.14965474791449482</v>
      </c>
      <c r="M54" s="14">
        <f t="shared" si="12"/>
        <v>2.7009462722870681E-2</v>
      </c>
      <c r="N54" s="14">
        <f t="shared" si="13"/>
        <v>4.9040348885614017E-2</v>
      </c>
      <c r="O54" s="14">
        <f t="shared" si="14"/>
        <v>0.1300264856117119</v>
      </c>
      <c r="P54" s="14">
        <f t="shared" si="15"/>
        <v>7.4442790292906624E-2</v>
      </c>
    </row>
    <row r="55" spans="1:16" x14ac:dyDescent="0.2">
      <c r="A55" s="9">
        <v>2012</v>
      </c>
      <c r="B55" s="11">
        <v>43003.788999999997</v>
      </c>
      <c r="C55" s="12">
        <f>dep_pre_eng_2010!C56+dep_pre_eng_2010!E56+dep_pre_eng_2010!F56</f>
        <v>79603.418999999994</v>
      </c>
      <c r="D55" s="13">
        <f>dep_pre_eng_2010!Q56</f>
        <v>33963.968000000001</v>
      </c>
      <c r="E55" s="13">
        <f>dep_pre_eng_2010!R56</f>
        <v>5541.5159999999996</v>
      </c>
      <c r="F55" s="13">
        <f>dep_pre_eng_2010!S56</f>
        <v>10431.576999999999</v>
      </c>
      <c r="G55" s="13">
        <f>dep_pre_eng_2010!T56</f>
        <v>27587.026999999998</v>
      </c>
      <c r="H55" s="13">
        <f>dep_pre_eng_2010!Y56</f>
        <v>15828.42</v>
      </c>
      <c r="I55" s="13">
        <f t="shared" si="1"/>
        <v>215959.71599999999</v>
      </c>
      <c r="J55" s="14">
        <f t="shared" si="9"/>
        <v>0.19912875325322246</v>
      </c>
      <c r="K55" s="14">
        <f t="shared" si="10"/>
        <v>0.36860309169882405</v>
      </c>
      <c r="L55" s="14">
        <f t="shared" si="11"/>
        <v>0.15726992343331292</v>
      </c>
      <c r="M55" s="14">
        <f t="shared" si="12"/>
        <v>2.5659952247760874E-2</v>
      </c>
      <c r="N55" s="14">
        <f t="shared" si="13"/>
        <v>4.8303346537092132E-2</v>
      </c>
      <c r="O55" s="14">
        <f t="shared" si="14"/>
        <v>0.12774154139006183</v>
      </c>
      <c r="P55" s="14">
        <f t="shared" si="15"/>
        <v>7.3293391439725741E-2</v>
      </c>
    </row>
    <row r="56" spans="1:16" x14ac:dyDescent="0.2">
      <c r="A56" s="9">
        <v>2013</v>
      </c>
      <c r="B56" s="11">
        <v>43786.862000000001</v>
      </c>
      <c r="C56" s="12">
        <f>dep_pre_eng_2010!C57+dep_pre_eng_2010!E57+dep_pre_eng_2010!F57</f>
        <v>79768.126000000004</v>
      </c>
      <c r="D56" s="13">
        <f>dep_pre_eng_2010!Q57</f>
        <v>37695.731</v>
      </c>
      <c r="E56" s="13">
        <f>dep_pre_eng_2010!R57</f>
        <v>5582.701</v>
      </c>
      <c r="F56" s="13">
        <f>dep_pre_eng_2010!S57</f>
        <v>10648.239</v>
      </c>
      <c r="G56" s="13">
        <f>dep_pre_eng_2010!T57</f>
        <v>28889.439999999999</v>
      </c>
      <c r="H56" s="13">
        <f>dep_pre_eng_2010!Y57</f>
        <v>15843.26</v>
      </c>
      <c r="I56" s="13">
        <f t="shared" si="1"/>
        <v>222214.35900000003</v>
      </c>
      <c r="J56" s="14">
        <f t="shared" si="9"/>
        <v>0.19704785143969925</v>
      </c>
      <c r="K56" s="14">
        <f t="shared" si="10"/>
        <v>0.35896926894809705</v>
      </c>
      <c r="L56" s="14">
        <f t="shared" si="11"/>
        <v>0.16963679201306697</v>
      </c>
      <c r="M56" s="14">
        <f t="shared" si="12"/>
        <v>2.512304346633153E-2</v>
      </c>
      <c r="N56" s="14">
        <f t="shared" si="13"/>
        <v>4.7918771081755338E-2</v>
      </c>
      <c r="O56" s="14">
        <f t="shared" si="14"/>
        <v>0.13000708023553056</v>
      </c>
      <c r="P56" s="14">
        <f t="shared" si="15"/>
        <v>7.1297192815519175E-2</v>
      </c>
    </row>
    <row r="57" spans="1:16" x14ac:dyDescent="0.2">
      <c r="A57" s="9">
        <v>2014</v>
      </c>
      <c r="B57" s="11">
        <v>38662.730000000003</v>
      </c>
      <c r="C57" s="12">
        <f>dep_pre_eng_2010!C58+dep_pre_eng_2010!E58+dep_pre_eng_2010!F58</f>
        <v>80372.735000000001</v>
      </c>
      <c r="D57" s="13">
        <f>dep_pre_eng_2010!Q58</f>
        <v>38434.917000000001</v>
      </c>
      <c r="E57" s="13">
        <f>dep_pre_eng_2010!R58</f>
        <v>5747.54</v>
      </c>
      <c r="F57" s="13">
        <f>dep_pre_eng_2010!S58</f>
        <v>10721.263999999999</v>
      </c>
      <c r="G57" s="13">
        <f>dep_pre_eng_2010!T58</f>
        <v>28688.268</v>
      </c>
      <c r="H57" s="13">
        <f>dep_pre_eng_2010!Y58</f>
        <v>16815.866999999998</v>
      </c>
      <c r="I57" s="13">
        <f t="shared" si="1"/>
        <v>219443.321</v>
      </c>
      <c r="J57" s="14">
        <f t="shared" si="9"/>
        <v>0.17618549438558673</v>
      </c>
      <c r="K57" s="14">
        <f t="shared" si="10"/>
        <v>0.36625737631814276</v>
      </c>
      <c r="L57" s="14">
        <f t="shared" si="11"/>
        <v>0.17514735388095956</v>
      </c>
      <c r="M57" s="14">
        <f t="shared" si="12"/>
        <v>2.6191455605978547E-2</v>
      </c>
      <c r="N57" s="14">
        <f t="shared" si="13"/>
        <v>4.8856643032667187E-2</v>
      </c>
      <c r="O57" s="14">
        <f t="shared" si="14"/>
        <v>0.13073201712983554</v>
      </c>
      <c r="P57" s="14">
        <f t="shared" si="15"/>
        <v>7.6629659646829704E-2</v>
      </c>
    </row>
    <row r="58" spans="1:16" x14ac:dyDescent="0.2">
      <c r="A58" s="9">
        <v>2015</v>
      </c>
      <c r="B58" s="11">
        <v>39507.124000000003</v>
      </c>
      <c r="C58" s="12">
        <f>dep_pre_eng_2010!C59+dep_pre_eng_2010!E59+dep_pre_eng_2010!F59</f>
        <v>80923.430999999997</v>
      </c>
      <c r="D58" s="13">
        <f>dep_pre_eng_2010!Q59</f>
        <v>38764.322999999997</v>
      </c>
      <c r="E58" s="13">
        <f>dep_pre_eng_2010!R59</f>
        <v>5756.5510000000004</v>
      </c>
      <c r="F58" s="13">
        <f>dep_pre_eng_2010!S59</f>
        <v>10486.334000000001</v>
      </c>
      <c r="G58" s="13">
        <f>dep_pre_eng_2010!T59</f>
        <v>28618.195</v>
      </c>
      <c r="H58" s="13">
        <f>dep_pre_eng_2010!Y59</f>
        <v>17033.067999999999</v>
      </c>
      <c r="I58" s="13">
        <f t="shared" si="1"/>
        <v>221089.02600000001</v>
      </c>
      <c r="J58" s="14">
        <f t="shared" si="9"/>
        <v>0.17869328349205357</v>
      </c>
      <c r="K58" s="14">
        <f t="shared" si="10"/>
        <v>0.36602192548444262</v>
      </c>
      <c r="L58" s="14">
        <f t="shared" si="11"/>
        <v>0.17533354640587179</v>
      </c>
      <c r="M58" s="14">
        <f t="shared" si="12"/>
        <v>2.6037253427494859E-2</v>
      </c>
      <c r="N58" s="14">
        <f t="shared" si="13"/>
        <v>4.7430368615401113E-2</v>
      </c>
      <c r="O58" s="14">
        <f t="shared" si="14"/>
        <v>0.12944195158741167</v>
      </c>
      <c r="P58" s="14">
        <f t="shared" si="15"/>
        <v>7.7041670987324354E-2</v>
      </c>
    </row>
    <row r="59" spans="1:16" x14ac:dyDescent="0.2">
      <c r="A59" s="9">
        <v>2016</v>
      </c>
      <c r="B59" s="11">
        <v>40483.061000000002</v>
      </c>
      <c r="C59" s="12">
        <f>dep_pre_eng_2010!C60+dep_pre_eng_2010!E60+dep_pre_eng_2010!F60</f>
        <v>81650.361999999994</v>
      </c>
      <c r="D59" s="13">
        <f>dep_pre_eng_2010!Q60</f>
        <v>39191.161999999997</v>
      </c>
      <c r="E59" s="13">
        <f>dep_pre_eng_2010!R60</f>
        <v>6042.223</v>
      </c>
      <c r="F59" s="13">
        <f>dep_pre_eng_2010!S60</f>
        <v>10509.655000000001</v>
      </c>
      <c r="G59" s="13">
        <f>dep_pre_eng_2010!T60</f>
        <v>29369.072</v>
      </c>
      <c r="H59" s="13">
        <f>dep_pre_eng_2010!Y60</f>
        <v>16639.786</v>
      </c>
      <c r="I59" s="13">
        <f t="shared" si="1"/>
        <v>223885.32099999997</v>
      </c>
      <c r="J59" s="14">
        <f t="shared" si="9"/>
        <v>0.18082052373589963</v>
      </c>
      <c r="K59" s="14">
        <f t="shared" si="10"/>
        <v>0.36469725498439448</v>
      </c>
      <c r="L59" s="14">
        <f t="shared" si="11"/>
        <v>0.17505016329319778</v>
      </c>
      <c r="M59" s="14">
        <f t="shared" si="12"/>
        <v>2.6988026606710857E-2</v>
      </c>
      <c r="N59" s="14">
        <f t="shared" si="13"/>
        <v>4.6942135165708353E-2</v>
      </c>
      <c r="O59" s="14">
        <f t="shared" si="14"/>
        <v>0.13117908699338088</v>
      </c>
      <c r="P59" s="14">
        <f t="shared" si="15"/>
        <v>7.432280922070815E-2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"/>
  <sheetViews>
    <sheetView workbookViewId="0">
      <pane xSplit="1" ySplit="2" topLeftCell="B43" activePane="bottomRight" state="frozen"/>
      <selection pane="topRight" activeCell="B1" sqref="B1"/>
      <selection pane="bottomLeft" activeCell="A3" sqref="A3"/>
      <selection pane="bottomRight" activeCell="AD2" sqref="AD2:AE60"/>
    </sheetView>
  </sheetViews>
  <sheetFormatPr baseColWidth="10" defaultRowHeight="12.75" x14ac:dyDescent="0.2"/>
  <cols>
    <col min="1" max="16384" width="11" style="1"/>
  </cols>
  <sheetData>
    <row r="1" spans="1:37" x14ac:dyDescent="0.2">
      <c r="A1" s="3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5" t="s">
        <v>24</v>
      </c>
      <c r="Z1" s="16" t="s">
        <v>25</v>
      </c>
      <c r="AA1" s="16" t="s">
        <v>26</v>
      </c>
      <c r="AB1" s="15"/>
      <c r="AC1" s="15"/>
      <c r="AD1" s="15"/>
      <c r="AE1" s="15"/>
      <c r="AF1" s="5" t="s">
        <v>69</v>
      </c>
      <c r="AG1" s="17"/>
      <c r="AH1" s="17"/>
      <c r="AI1" s="17"/>
      <c r="AJ1" s="17"/>
      <c r="AK1" s="17"/>
    </row>
    <row r="2" spans="1:37" s="2" customFormat="1" ht="140.25" x14ac:dyDescent="0.2">
      <c r="A2" s="6"/>
      <c r="B2" s="7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s">
        <v>37</v>
      </c>
      <c r="M2" s="8" t="s">
        <v>38</v>
      </c>
      <c r="N2" s="8" t="s">
        <v>39</v>
      </c>
      <c r="O2" s="8" t="s">
        <v>40</v>
      </c>
      <c r="P2" s="8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8" t="s">
        <v>46</v>
      </c>
      <c r="V2" s="8" t="s">
        <v>47</v>
      </c>
      <c r="W2" s="8" t="s">
        <v>48</v>
      </c>
      <c r="X2" s="8" t="s">
        <v>49</v>
      </c>
      <c r="Y2" s="7" t="s">
        <v>50</v>
      </c>
      <c r="Z2" s="8" t="s">
        <v>51</v>
      </c>
      <c r="AA2" s="8" t="s">
        <v>52</v>
      </c>
      <c r="AB2" s="7" t="s">
        <v>53</v>
      </c>
      <c r="AC2" s="7" t="s">
        <v>54</v>
      </c>
      <c r="AD2" s="7" t="s">
        <v>55</v>
      </c>
      <c r="AE2" s="7" t="s">
        <v>68</v>
      </c>
      <c r="AF2" s="8" t="s">
        <v>70</v>
      </c>
      <c r="AG2" s="21" t="s">
        <v>71</v>
      </c>
      <c r="AH2" s="21" t="s">
        <v>72</v>
      </c>
      <c r="AI2" s="21" t="s">
        <v>73</v>
      </c>
      <c r="AJ2" s="21" t="s">
        <v>74</v>
      </c>
      <c r="AK2" s="21" t="s">
        <v>75</v>
      </c>
    </row>
    <row r="3" spans="1:37" x14ac:dyDescent="0.2">
      <c r="A3" s="9">
        <v>1959</v>
      </c>
      <c r="B3" s="10">
        <v>2661.9540000000002</v>
      </c>
      <c r="C3" s="11">
        <v>503.755</v>
      </c>
      <c r="D3" s="11">
        <v>850.06100000000004</v>
      </c>
      <c r="E3" s="11">
        <v>246.149</v>
      </c>
      <c r="F3" s="11">
        <v>121.613</v>
      </c>
      <c r="G3" s="11">
        <v>25.215</v>
      </c>
      <c r="H3" s="11">
        <v>33.241999999999997</v>
      </c>
      <c r="I3" s="11">
        <v>15.83</v>
      </c>
      <c r="J3" s="11">
        <v>47.326000000000001</v>
      </c>
      <c r="K3" s="11">
        <v>940.37599999999998</v>
      </c>
      <c r="L3" s="11">
        <v>212.71700000000001</v>
      </c>
      <c r="M3" s="11">
        <v>220.00800000000001</v>
      </c>
      <c r="N3" s="11">
        <v>85.751000000000005</v>
      </c>
      <c r="O3" s="11">
        <v>403.30099999999999</v>
      </c>
      <c r="P3" s="11">
        <v>18.600000000000001</v>
      </c>
      <c r="Q3" s="10">
        <v>98.38</v>
      </c>
      <c r="R3" s="10">
        <v>34.290999999999997</v>
      </c>
      <c r="S3" s="10">
        <v>216.45699999999999</v>
      </c>
      <c r="T3" s="10">
        <v>210.55099999999999</v>
      </c>
      <c r="U3" s="11">
        <v>26.216999999999999</v>
      </c>
      <c r="V3" s="11">
        <v>84.197999999999993</v>
      </c>
      <c r="W3" s="11">
        <v>73.305000000000007</v>
      </c>
      <c r="X3" s="11">
        <v>26.831</v>
      </c>
      <c r="Y3" s="10">
        <v>320.40499999999997</v>
      </c>
      <c r="Z3" s="11">
        <v>255.429</v>
      </c>
      <c r="AA3" s="11">
        <v>64.975999999999999</v>
      </c>
      <c r="AB3" s="10">
        <v>3542.038</v>
      </c>
      <c r="AC3" s="10">
        <v>20589.736000000001</v>
      </c>
      <c r="AD3" s="10">
        <v>24131.774000000001</v>
      </c>
      <c r="AE3" s="11">
        <v>28689.9</v>
      </c>
      <c r="AF3" s="18">
        <v>14.678000000000001</v>
      </c>
      <c r="AG3" s="18">
        <v>12.346</v>
      </c>
      <c r="AH3" s="18">
        <v>9.2780000000000005</v>
      </c>
      <c r="AI3" s="18">
        <v>1.851</v>
      </c>
      <c r="AJ3" s="18">
        <v>0.46200000000000002</v>
      </c>
      <c r="AK3" s="18">
        <v>0.754</v>
      </c>
    </row>
    <row r="4" spans="1:37" x14ac:dyDescent="0.2">
      <c r="A4" s="9">
        <v>1960</v>
      </c>
      <c r="B4" s="10">
        <v>3032.3249999999998</v>
      </c>
      <c r="C4" s="11">
        <v>607.44000000000005</v>
      </c>
      <c r="D4" s="11">
        <v>1027.1289999999999</v>
      </c>
      <c r="E4" s="11">
        <v>265.70800000000003</v>
      </c>
      <c r="F4" s="11">
        <v>134.268</v>
      </c>
      <c r="G4" s="11">
        <v>28.649000000000001</v>
      </c>
      <c r="H4" s="11">
        <v>35.976999999999997</v>
      </c>
      <c r="I4" s="11">
        <v>17.98</v>
      </c>
      <c r="J4" s="11">
        <v>51.661000000000001</v>
      </c>
      <c r="K4" s="11">
        <v>997.779</v>
      </c>
      <c r="L4" s="11">
        <v>231.81899999999999</v>
      </c>
      <c r="M4" s="11">
        <v>233.28200000000001</v>
      </c>
      <c r="N4" s="11">
        <v>96.117999999999995</v>
      </c>
      <c r="O4" s="11">
        <v>415.43099999999998</v>
      </c>
      <c r="P4" s="11">
        <v>21.13</v>
      </c>
      <c r="Q4" s="10">
        <v>107.31699999999999</v>
      </c>
      <c r="R4" s="10">
        <v>43.887999999999998</v>
      </c>
      <c r="S4" s="10">
        <v>230.85400000000001</v>
      </c>
      <c r="T4" s="10">
        <v>251.155</v>
      </c>
      <c r="U4" s="11">
        <v>31.283999999999999</v>
      </c>
      <c r="V4" s="11">
        <v>100.568</v>
      </c>
      <c r="W4" s="11">
        <v>87.945999999999998</v>
      </c>
      <c r="X4" s="11">
        <v>31.358000000000001</v>
      </c>
      <c r="Y4" s="10">
        <v>334.54899999999998</v>
      </c>
      <c r="Z4" s="11">
        <v>268.48099999999999</v>
      </c>
      <c r="AA4" s="11">
        <v>66.067999999999998</v>
      </c>
      <c r="AB4" s="10">
        <v>4000.0880000000002</v>
      </c>
      <c r="AC4" s="10">
        <v>22160.696</v>
      </c>
      <c r="AD4" s="10">
        <v>26160.784</v>
      </c>
      <c r="AE4" s="11">
        <v>31911.7</v>
      </c>
      <c r="AF4" s="18">
        <v>15.29</v>
      </c>
      <c r="AG4" s="18">
        <v>12.535</v>
      </c>
      <c r="AH4" s="18">
        <v>9.5020000000000007</v>
      </c>
      <c r="AI4" s="18">
        <v>1.835</v>
      </c>
      <c r="AJ4" s="18">
        <v>0.47399999999999998</v>
      </c>
      <c r="AK4" s="18">
        <v>0.72299999999999998</v>
      </c>
    </row>
    <row r="5" spans="1:37" x14ac:dyDescent="0.2">
      <c r="A5" s="9">
        <v>1961</v>
      </c>
      <c r="B5" s="10">
        <v>3430.527</v>
      </c>
      <c r="C5" s="11">
        <v>718.92</v>
      </c>
      <c r="D5" s="11">
        <v>1218.9880000000001</v>
      </c>
      <c r="E5" s="11">
        <v>307.73700000000002</v>
      </c>
      <c r="F5" s="11">
        <v>147.25200000000001</v>
      </c>
      <c r="G5" s="11">
        <v>30.712</v>
      </c>
      <c r="H5" s="11">
        <v>39.624000000000002</v>
      </c>
      <c r="I5" s="11">
        <v>19.28</v>
      </c>
      <c r="J5" s="11">
        <v>57.634999999999998</v>
      </c>
      <c r="K5" s="11">
        <v>1037.6300000000001</v>
      </c>
      <c r="L5" s="11">
        <v>248.018</v>
      </c>
      <c r="M5" s="11">
        <v>243.203</v>
      </c>
      <c r="N5" s="11">
        <v>109.119</v>
      </c>
      <c r="O5" s="11">
        <v>414.64100000000002</v>
      </c>
      <c r="P5" s="11">
        <v>22.65</v>
      </c>
      <c r="Q5" s="10">
        <v>117.29</v>
      </c>
      <c r="R5" s="10">
        <v>54.131999999999998</v>
      </c>
      <c r="S5" s="10">
        <v>258.32600000000002</v>
      </c>
      <c r="T5" s="10">
        <v>263.27300000000002</v>
      </c>
      <c r="U5" s="11">
        <v>33.057000000000002</v>
      </c>
      <c r="V5" s="11">
        <v>102.941</v>
      </c>
      <c r="W5" s="11">
        <v>93.763000000000005</v>
      </c>
      <c r="X5" s="11">
        <v>33.51</v>
      </c>
      <c r="Y5" s="10">
        <v>359.66</v>
      </c>
      <c r="Z5" s="11">
        <v>289.69600000000003</v>
      </c>
      <c r="AA5" s="11">
        <v>69.962999999999994</v>
      </c>
      <c r="AB5" s="10">
        <v>4483.2079999999996</v>
      </c>
      <c r="AC5" s="10">
        <v>24025.991999999998</v>
      </c>
      <c r="AD5" s="10">
        <v>28509.200000000001</v>
      </c>
      <c r="AE5" s="11">
        <v>34435.5</v>
      </c>
      <c r="AF5" s="18">
        <v>15.725</v>
      </c>
      <c r="AG5" s="18">
        <v>13.019</v>
      </c>
      <c r="AH5" s="18">
        <v>9.9619999999999997</v>
      </c>
      <c r="AI5" s="18">
        <v>1.8089999999999999</v>
      </c>
      <c r="AJ5" s="18">
        <v>0.498</v>
      </c>
      <c r="AK5" s="18">
        <v>0.75</v>
      </c>
    </row>
    <row r="6" spans="1:37" x14ac:dyDescent="0.2">
      <c r="A6" s="9">
        <v>1962</v>
      </c>
      <c r="B6" s="10">
        <v>4030.134</v>
      </c>
      <c r="C6" s="11">
        <v>869.61699999999996</v>
      </c>
      <c r="D6" s="11">
        <v>1476.1969999999999</v>
      </c>
      <c r="E6" s="11">
        <v>352.96100000000001</v>
      </c>
      <c r="F6" s="11">
        <v>164.155</v>
      </c>
      <c r="G6" s="11">
        <v>34.267000000000003</v>
      </c>
      <c r="H6" s="11">
        <v>44.173999999999999</v>
      </c>
      <c r="I6" s="11">
        <v>21.51</v>
      </c>
      <c r="J6" s="11">
        <v>64.203999999999994</v>
      </c>
      <c r="K6" s="11">
        <v>1167.204</v>
      </c>
      <c r="L6" s="11">
        <v>265.12700000000001</v>
      </c>
      <c r="M6" s="11">
        <v>267.62700000000001</v>
      </c>
      <c r="N6" s="11">
        <v>141.06800000000001</v>
      </c>
      <c r="O6" s="11">
        <v>468.101</v>
      </c>
      <c r="P6" s="11">
        <v>25.28</v>
      </c>
      <c r="Q6" s="10">
        <v>128.90199999999999</v>
      </c>
      <c r="R6" s="10">
        <v>65.778000000000006</v>
      </c>
      <c r="S6" s="10">
        <v>282.87299999999999</v>
      </c>
      <c r="T6" s="10">
        <v>296.40199999999999</v>
      </c>
      <c r="U6" s="11">
        <v>37.095999999999997</v>
      </c>
      <c r="V6" s="11">
        <v>116.634</v>
      </c>
      <c r="W6" s="11">
        <v>105.935</v>
      </c>
      <c r="X6" s="11">
        <v>36.735999999999997</v>
      </c>
      <c r="Y6" s="10">
        <v>384.11900000000003</v>
      </c>
      <c r="Z6" s="11">
        <v>310.91199999999998</v>
      </c>
      <c r="AA6" s="11">
        <v>73.207999999999998</v>
      </c>
      <c r="AB6" s="10">
        <v>5188.2089999999998</v>
      </c>
      <c r="AC6" s="10">
        <v>26730.077000000001</v>
      </c>
      <c r="AD6" s="10">
        <v>31918.286</v>
      </c>
      <c r="AE6" s="11">
        <v>39577.800000000003</v>
      </c>
      <c r="AF6" s="18">
        <v>16.254999999999999</v>
      </c>
      <c r="AG6" s="18">
        <v>13.109</v>
      </c>
      <c r="AH6" s="18">
        <v>10.183</v>
      </c>
      <c r="AI6" s="18">
        <v>1.7190000000000001</v>
      </c>
      <c r="AJ6" s="18">
        <v>0.49199999999999999</v>
      </c>
      <c r="AK6" s="18">
        <v>0.71499999999999997</v>
      </c>
    </row>
    <row r="7" spans="1:37" x14ac:dyDescent="0.2">
      <c r="A7" s="9">
        <v>1963</v>
      </c>
      <c r="B7" s="10">
        <v>4756.5039999999999</v>
      </c>
      <c r="C7" s="11">
        <v>1039.5</v>
      </c>
      <c r="D7" s="11">
        <v>1770.482</v>
      </c>
      <c r="E7" s="11">
        <v>415.58600000000001</v>
      </c>
      <c r="F7" s="11">
        <v>191.04300000000001</v>
      </c>
      <c r="G7" s="11">
        <v>41.447000000000003</v>
      </c>
      <c r="H7" s="11">
        <v>50.1</v>
      </c>
      <c r="I7" s="11">
        <v>26.02</v>
      </c>
      <c r="J7" s="11">
        <v>73.475999999999999</v>
      </c>
      <c r="K7" s="11">
        <v>1339.8920000000001</v>
      </c>
      <c r="L7" s="11">
        <v>306.846</v>
      </c>
      <c r="M7" s="11">
        <v>296.02100000000002</v>
      </c>
      <c r="N7" s="11">
        <v>179.38399999999999</v>
      </c>
      <c r="O7" s="11">
        <v>527.07100000000003</v>
      </c>
      <c r="P7" s="11">
        <v>30.57</v>
      </c>
      <c r="Q7" s="10">
        <v>140.28</v>
      </c>
      <c r="R7" s="10">
        <v>72.033000000000001</v>
      </c>
      <c r="S7" s="10">
        <v>321.09800000000001</v>
      </c>
      <c r="T7" s="10">
        <v>363.99</v>
      </c>
      <c r="U7" s="11">
        <v>45.427</v>
      </c>
      <c r="V7" s="11">
        <v>143.273</v>
      </c>
      <c r="W7" s="11">
        <v>130.971</v>
      </c>
      <c r="X7" s="11">
        <v>44.319000000000003</v>
      </c>
      <c r="Y7" s="10">
        <v>455.714</v>
      </c>
      <c r="Z7" s="11">
        <v>379.46600000000001</v>
      </c>
      <c r="AA7" s="11">
        <v>76.248000000000005</v>
      </c>
      <c r="AB7" s="10">
        <v>6109.6180000000004</v>
      </c>
      <c r="AC7" s="10">
        <v>29767.628000000001</v>
      </c>
      <c r="AD7" s="10">
        <v>35877.247000000003</v>
      </c>
      <c r="AE7" s="11">
        <v>44090.9</v>
      </c>
      <c r="AF7" s="18">
        <v>17.029</v>
      </c>
      <c r="AG7" s="18">
        <v>13.856999999999999</v>
      </c>
      <c r="AH7" s="18">
        <v>10.788</v>
      </c>
      <c r="AI7" s="18">
        <v>1.859</v>
      </c>
      <c r="AJ7" s="18">
        <v>0.48199999999999998</v>
      </c>
      <c r="AK7" s="18">
        <v>0.72799999999999998</v>
      </c>
    </row>
    <row r="8" spans="1:37" x14ac:dyDescent="0.2">
      <c r="A8" s="9">
        <v>1964</v>
      </c>
      <c r="B8" s="10">
        <v>5233.4250000000002</v>
      </c>
      <c r="C8" s="11">
        <v>1173.7429999999999</v>
      </c>
      <c r="D8" s="11">
        <v>2015.585</v>
      </c>
      <c r="E8" s="11">
        <v>481.08800000000002</v>
      </c>
      <c r="F8" s="11">
        <v>211.20400000000001</v>
      </c>
      <c r="G8" s="11">
        <v>45.713000000000001</v>
      </c>
      <c r="H8" s="11">
        <v>54.649000000000001</v>
      </c>
      <c r="I8" s="11">
        <v>28.69</v>
      </c>
      <c r="J8" s="11">
        <v>82.152000000000001</v>
      </c>
      <c r="K8" s="11">
        <v>1351.8050000000001</v>
      </c>
      <c r="L8" s="11">
        <v>352.68900000000002</v>
      </c>
      <c r="M8" s="11">
        <v>309.22000000000003</v>
      </c>
      <c r="N8" s="11">
        <v>210.08600000000001</v>
      </c>
      <c r="O8" s="11">
        <v>446.09100000000001</v>
      </c>
      <c r="P8" s="11">
        <v>33.72</v>
      </c>
      <c r="Q8" s="10">
        <v>154.98400000000001</v>
      </c>
      <c r="R8" s="10">
        <v>79.903999999999996</v>
      </c>
      <c r="S8" s="10">
        <v>365.30500000000001</v>
      </c>
      <c r="T8" s="10">
        <v>450.714</v>
      </c>
      <c r="U8" s="11">
        <v>55.692</v>
      </c>
      <c r="V8" s="11">
        <v>179.41900000000001</v>
      </c>
      <c r="W8" s="11">
        <v>162.10400000000001</v>
      </c>
      <c r="X8" s="11">
        <v>53.499000000000002</v>
      </c>
      <c r="Y8" s="10">
        <v>543.86500000000001</v>
      </c>
      <c r="Z8" s="11">
        <v>464.33699999999999</v>
      </c>
      <c r="AA8" s="11">
        <v>79.528999999999996</v>
      </c>
      <c r="AB8" s="10">
        <v>6828.1980000000003</v>
      </c>
      <c r="AC8" s="10">
        <v>32273.34</v>
      </c>
      <c r="AD8" s="10">
        <v>39101.538</v>
      </c>
      <c r="AE8" s="11">
        <v>47882.1</v>
      </c>
      <c r="AF8" s="18">
        <v>17.463000000000001</v>
      </c>
      <c r="AG8" s="18">
        <v>14.26</v>
      </c>
      <c r="AH8" s="18">
        <v>10.93</v>
      </c>
      <c r="AI8" s="18">
        <v>2.077</v>
      </c>
      <c r="AJ8" s="18">
        <v>0.49099999999999999</v>
      </c>
      <c r="AK8" s="18">
        <v>0.76300000000000001</v>
      </c>
    </row>
    <row r="9" spans="1:37" x14ac:dyDescent="0.2">
      <c r="A9" s="9">
        <v>1965</v>
      </c>
      <c r="B9" s="10">
        <v>5943.8379999999997</v>
      </c>
      <c r="C9" s="11">
        <v>1375.2449999999999</v>
      </c>
      <c r="D9" s="11">
        <v>2361.1190000000001</v>
      </c>
      <c r="E9" s="11">
        <v>529.95299999999997</v>
      </c>
      <c r="F9" s="11">
        <v>234.22200000000001</v>
      </c>
      <c r="G9" s="11">
        <v>52.703000000000003</v>
      </c>
      <c r="H9" s="11">
        <v>58.295999999999999</v>
      </c>
      <c r="I9" s="11">
        <v>33.08</v>
      </c>
      <c r="J9" s="11">
        <v>90.143000000000001</v>
      </c>
      <c r="K9" s="11">
        <v>1443.299</v>
      </c>
      <c r="L9" s="11">
        <v>374.69400000000002</v>
      </c>
      <c r="M9" s="11">
        <v>334.23399999999998</v>
      </c>
      <c r="N9" s="11">
        <v>244.66</v>
      </c>
      <c r="O9" s="11">
        <v>450.84100000000001</v>
      </c>
      <c r="P9" s="11">
        <v>38.869999999999997</v>
      </c>
      <c r="Q9" s="10">
        <v>181.17</v>
      </c>
      <c r="R9" s="10">
        <v>88.745999999999995</v>
      </c>
      <c r="S9" s="10">
        <v>397.625</v>
      </c>
      <c r="T9" s="10">
        <v>535.55899999999997</v>
      </c>
      <c r="U9" s="11">
        <v>66.97</v>
      </c>
      <c r="V9" s="11">
        <v>208.91</v>
      </c>
      <c r="W9" s="11">
        <v>196.392</v>
      </c>
      <c r="X9" s="11">
        <v>63.286999999999999</v>
      </c>
      <c r="Y9" s="10">
        <v>559.33399999999995</v>
      </c>
      <c r="Z9" s="11">
        <v>474.94400000000002</v>
      </c>
      <c r="AA9" s="11">
        <v>84.39</v>
      </c>
      <c r="AB9" s="10">
        <v>7706.2719999999999</v>
      </c>
      <c r="AC9" s="10">
        <v>33983.911</v>
      </c>
      <c r="AD9" s="10">
        <v>41690.182999999997</v>
      </c>
      <c r="AE9" s="11">
        <v>51445.7</v>
      </c>
      <c r="AF9" s="18">
        <v>18.484999999999999</v>
      </c>
      <c r="AG9" s="18">
        <v>14.978999999999999</v>
      </c>
      <c r="AH9" s="18">
        <v>11.554</v>
      </c>
      <c r="AI9" s="18">
        <v>2.1280000000000001</v>
      </c>
      <c r="AJ9" s="18">
        <v>0.52500000000000002</v>
      </c>
      <c r="AK9" s="18">
        <v>0.77300000000000002</v>
      </c>
    </row>
    <row r="10" spans="1:37" x14ac:dyDescent="0.2">
      <c r="A10" s="9">
        <v>1966</v>
      </c>
      <c r="B10" s="10">
        <v>6703.9849999999997</v>
      </c>
      <c r="C10" s="11">
        <v>1599.83</v>
      </c>
      <c r="D10" s="11">
        <v>2745.9140000000002</v>
      </c>
      <c r="E10" s="11">
        <v>589.67999999999995</v>
      </c>
      <c r="F10" s="11">
        <v>260.959</v>
      </c>
      <c r="G10" s="11">
        <v>60.844000000000001</v>
      </c>
      <c r="H10" s="11">
        <v>63.302</v>
      </c>
      <c r="I10" s="11">
        <v>38.19</v>
      </c>
      <c r="J10" s="11">
        <v>98.623999999999995</v>
      </c>
      <c r="K10" s="11">
        <v>1507.6010000000001</v>
      </c>
      <c r="L10" s="11">
        <v>434.904</v>
      </c>
      <c r="M10" s="11">
        <v>354.25099999999998</v>
      </c>
      <c r="N10" s="11">
        <v>273.70499999999998</v>
      </c>
      <c r="O10" s="11">
        <v>399.86099999999999</v>
      </c>
      <c r="P10" s="11">
        <v>44.88</v>
      </c>
      <c r="Q10" s="10">
        <v>190.744</v>
      </c>
      <c r="R10" s="10">
        <v>95.754999999999995</v>
      </c>
      <c r="S10" s="10">
        <v>434.63200000000001</v>
      </c>
      <c r="T10" s="10">
        <v>598.63699999999994</v>
      </c>
      <c r="U10" s="11">
        <v>75.269000000000005</v>
      </c>
      <c r="V10" s="11">
        <v>231.31399999999999</v>
      </c>
      <c r="W10" s="11">
        <v>222.44399999999999</v>
      </c>
      <c r="X10" s="11">
        <v>69.608999999999995</v>
      </c>
      <c r="Y10" s="10">
        <v>608.54</v>
      </c>
      <c r="Z10" s="11">
        <v>519.82899999999995</v>
      </c>
      <c r="AA10" s="11">
        <v>88.710999999999999</v>
      </c>
      <c r="AB10" s="10">
        <v>8632.2929999999997</v>
      </c>
      <c r="AC10" s="10">
        <v>36376.440999999999</v>
      </c>
      <c r="AD10" s="10">
        <v>45008.733999999997</v>
      </c>
      <c r="AE10" s="11">
        <v>55574.7</v>
      </c>
      <c r="AF10" s="18">
        <v>19.178999999999998</v>
      </c>
      <c r="AG10" s="18">
        <v>15.532999999999999</v>
      </c>
      <c r="AH10" s="18">
        <v>12.063000000000001</v>
      </c>
      <c r="AI10" s="18">
        <v>2.1720000000000002</v>
      </c>
      <c r="AJ10" s="18">
        <v>0.51600000000000001</v>
      </c>
      <c r="AK10" s="18">
        <v>0.78200000000000003</v>
      </c>
    </row>
    <row r="11" spans="1:37" x14ac:dyDescent="0.2">
      <c r="A11" s="9">
        <v>1967</v>
      </c>
      <c r="B11" s="10">
        <v>7785.5169999999998</v>
      </c>
      <c r="C11" s="11">
        <v>1892.221</v>
      </c>
      <c r="D11" s="11">
        <v>3246.23</v>
      </c>
      <c r="E11" s="11">
        <v>664.95</v>
      </c>
      <c r="F11" s="11">
        <v>290.61900000000003</v>
      </c>
      <c r="G11" s="11">
        <v>69.706000000000003</v>
      </c>
      <c r="H11" s="11">
        <v>68.316000000000003</v>
      </c>
      <c r="I11" s="11">
        <v>43.75</v>
      </c>
      <c r="J11" s="11">
        <v>108.84699999999999</v>
      </c>
      <c r="K11" s="11">
        <v>1691.4970000000001</v>
      </c>
      <c r="L11" s="11">
        <v>506.56700000000001</v>
      </c>
      <c r="M11" s="11">
        <v>392.19</v>
      </c>
      <c r="N11" s="11">
        <v>340.089</v>
      </c>
      <c r="O11" s="11">
        <v>401.24099999999999</v>
      </c>
      <c r="P11" s="11">
        <v>51.41</v>
      </c>
      <c r="Q11" s="10">
        <v>212.28299999999999</v>
      </c>
      <c r="R11" s="10">
        <v>110.636</v>
      </c>
      <c r="S11" s="10">
        <v>466.13200000000001</v>
      </c>
      <c r="T11" s="10">
        <v>677.19100000000003</v>
      </c>
      <c r="U11" s="11">
        <v>85.36</v>
      </c>
      <c r="V11" s="11">
        <v>260.04199999999997</v>
      </c>
      <c r="W11" s="11">
        <v>254.60900000000001</v>
      </c>
      <c r="X11" s="11">
        <v>77.180000000000007</v>
      </c>
      <c r="Y11" s="10">
        <v>689.95899999999995</v>
      </c>
      <c r="Z11" s="11">
        <v>594.9</v>
      </c>
      <c r="AA11" s="11">
        <v>95.058999999999997</v>
      </c>
      <c r="AB11" s="10">
        <v>9941.7170000000006</v>
      </c>
      <c r="AC11" s="10">
        <v>38799.182999999997</v>
      </c>
      <c r="AD11" s="10">
        <v>48740.9</v>
      </c>
      <c r="AE11" s="11">
        <v>60552.9</v>
      </c>
      <c r="AF11" s="18">
        <v>20.396999999999998</v>
      </c>
      <c r="AG11" s="18">
        <v>16.417999999999999</v>
      </c>
      <c r="AH11" s="18">
        <v>12.856999999999999</v>
      </c>
      <c r="AI11" s="18">
        <v>2.258</v>
      </c>
      <c r="AJ11" s="18">
        <v>0.53300000000000003</v>
      </c>
      <c r="AK11" s="18">
        <v>0.77</v>
      </c>
    </row>
    <row r="12" spans="1:37" x14ac:dyDescent="0.2">
      <c r="A12" s="9">
        <v>1968</v>
      </c>
      <c r="B12" s="10">
        <v>9007.0939999999991</v>
      </c>
      <c r="C12" s="11">
        <v>2200.6689999999999</v>
      </c>
      <c r="D12" s="11">
        <v>3801.2469999999998</v>
      </c>
      <c r="E12" s="11">
        <v>735.02499999999998</v>
      </c>
      <c r="F12" s="11">
        <v>333.28199999999998</v>
      </c>
      <c r="G12" s="11">
        <v>84.316000000000003</v>
      </c>
      <c r="H12" s="11">
        <v>74.688999999999993</v>
      </c>
      <c r="I12" s="11">
        <v>52.93</v>
      </c>
      <c r="J12" s="11">
        <v>121.34699999999999</v>
      </c>
      <c r="K12" s="11">
        <v>1936.8710000000001</v>
      </c>
      <c r="L12" s="11">
        <v>575.48699999999997</v>
      </c>
      <c r="M12" s="11">
        <v>447.142</v>
      </c>
      <c r="N12" s="11">
        <v>470.64</v>
      </c>
      <c r="O12" s="11">
        <v>381.411</v>
      </c>
      <c r="P12" s="11">
        <v>62.19</v>
      </c>
      <c r="Q12" s="10">
        <v>227.71299999999999</v>
      </c>
      <c r="R12" s="10">
        <v>111.715</v>
      </c>
      <c r="S12" s="10">
        <v>492.76400000000001</v>
      </c>
      <c r="T12" s="10">
        <v>744.91300000000001</v>
      </c>
      <c r="U12" s="11">
        <v>94.340999999999994</v>
      </c>
      <c r="V12" s="11">
        <v>283.33199999999999</v>
      </c>
      <c r="W12" s="11">
        <v>283.71100000000001</v>
      </c>
      <c r="X12" s="11">
        <v>83.528000000000006</v>
      </c>
      <c r="Y12" s="10">
        <v>870.41899999999998</v>
      </c>
      <c r="Z12" s="11">
        <v>762.19600000000003</v>
      </c>
      <c r="AA12" s="11">
        <v>108.224</v>
      </c>
      <c r="AB12" s="10">
        <v>11454.617</v>
      </c>
      <c r="AC12" s="10">
        <v>41948.985000000001</v>
      </c>
      <c r="AD12" s="10">
        <v>53403.601999999999</v>
      </c>
      <c r="AE12" s="11">
        <v>66481.600000000006</v>
      </c>
      <c r="AF12" s="18">
        <v>21.449000000000002</v>
      </c>
      <c r="AG12" s="18">
        <v>17.23</v>
      </c>
      <c r="AH12" s="18">
        <v>13.548</v>
      </c>
      <c r="AI12" s="18">
        <v>2.4300000000000002</v>
      </c>
      <c r="AJ12" s="18">
        <v>0.51100000000000001</v>
      </c>
      <c r="AK12" s="18">
        <v>0.74099999999999999</v>
      </c>
    </row>
    <row r="13" spans="1:37" x14ac:dyDescent="0.2">
      <c r="A13" s="9">
        <v>1969</v>
      </c>
      <c r="B13" s="10">
        <v>10596.114</v>
      </c>
      <c r="C13" s="11">
        <v>2660.5889999999999</v>
      </c>
      <c r="D13" s="11">
        <v>4503.6009999999997</v>
      </c>
      <c r="E13" s="11">
        <v>861.971</v>
      </c>
      <c r="F13" s="11">
        <v>396.31099999999998</v>
      </c>
      <c r="G13" s="11">
        <v>106.366</v>
      </c>
      <c r="H13" s="11">
        <v>84.709000000000003</v>
      </c>
      <c r="I13" s="11">
        <v>66.77</v>
      </c>
      <c r="J13" s="11">
        <v>138.465</v>
      </c>
      <c r="K13" s="11">
        <v>2173.6419999999998</v>
      </c>
      <c r="L13" s="11">
        <v>661.67700000000002</v>
      </c>
      <c r="M13" s="11">
        <v>498.577</v>
      </c>
      <c r="N13" s="11">
        <v>562.75699999999995</v>
      </c>
      <c r="O13" s="11">
        <v>372.18099999999998</v>
      </c>
      <c r="P13" s="11">
        <v>78.45</v>
      </c>
      <c r="Q13" s="10">
        <v>299.56900000000002</v>
      </c>
      <c r="R13" s="10">
        <v>122.929</v>
      </c>
      <c r="S13" s="10">
        <v>564.60599999999999</v>
      </c>
      <c r="T13" s="10">
        <v>875.64599999999996</v>
      </c>
      <c r="U13" s="11">
        <v>111.315</v>
      </c>
      <c r="V13" s="11">
        <v>329.31599999999997</v>
      </c>
      <c r="W13" s="11">
        <v>337.33600000000001</v>
      </c>
      <c r="X13" s="11">
        <v>97.679000000000002</v>
      </c>
      <c r="Y13" s="10">
        <v>1249.636</v>
      </c>
      <c r="Z13" s="11">
        <v>1120.4369999999999</v>
      </c>
      <c r="AA13" s="11">
        <v>129.19900000000001</v>
      </c>
      <c r="AB13" s="10">
        <v>13708.499</v>
      </c>
      <c r="AC13" s="10">
        <v>47186.288</v>
      </c>
      <c r="AD13" s="10">
        <v>60894.786999999997</v>
      </c>
      <c r="AE13" s="11">
        <v>74577.8</v>
      </c>
      <c r="AF13" s="18">
        <v>22.512</v>
      </c>
      <c r="AG13" s="18">
        <v>18.381</v>
      </c>
      <c r="AH13" s="18">
        <v>14.208</v>
      </c>
      <c r="AI13" s="18">
        <v>2.85</v>
      </c>
      <c r="AJ13" s="18">
        <v>0.56699999999999995</v>
      </c>
      <c r="AK13" s="18">
        <v>0.75700000000000001</v>
      </c>
    </row>
    <row r="14" spans="1:37" x14ac:dyDescent="0.2">
      <c r="A14" s="9">
        <v>1970</v>
      </c>
      <c r="B14" s="10">
        <v>12071.614</v>
      </c>
      <c r="C14" s="11">
        <v>3013.598</v>
      </c>
      <c r="D14" s="11">
        <v>5136.7330000000002</v>
      </c>
      <c r="E14" s="11">
        <v>992.12099999999998</v>
      </c>
      <c r="F14" s="11">
        <v>468.15499999999997</v>
      </c>
      <c r="G14" s="11">
        <v>135.40600000000001</v>
      </c>
      <c r="H14" s="11">
        <v>93.361999999999995</v>
      </c>
      <c r="I14" s="11">
        <v>84.99</v>
      </c>
      <c r="J14" s="11">
        <v>154.39699999999999</v>
      </c>
      <c r="K14" s="11">
        <v>2461.0070000000001</v>
      </c>
      <c r="L14" s="11">
        <v>761.61300000000006</v>
      </c>
      <c r="M14" s="11">
        <v>558.75099999999998</v>
      </c>
      <c r="N14" s="11">
        <v>660.12199999999996</v>
      </c>
      <c r="O14" s="11">
        <v>381.48099999999999</v>
      </c>
      <c r="P14" s="11">
        <v>99.04</v>
      </c>
      <c r="Q14" s="10">
        <v>337.75200000000001</v>
      </c>
      <c r="R14" s="10">
        <v>134.68199999999999</v>
      </c>
      <c r="S14" s="10">
        <v>612.66099999999994</v>
      </c>
      <c r="T14" s="10">
        <v>950.16200000000003</v>
      </c>
      <c r="U14" s="11">
        <v>119.205</v>
      </c>
      <c r="V14" s="11">
        <v>361.858</v>
      </c>
      <c r="W14" s="11">
        <v>364.32</v>
      </c>
      <c r="X14" s="11">
        <v>104.779</v>
      </c>
      <c r="Y14" s="10">
        <v>1500.9280000000001</v>
      </c>
      <c r="Z14" s="11">
        <v>1364.44</v>
      </c>
      <c r="AA14" s="11">
        <v>136.488</v>
      </c>
      <c r="AB14" s="10">
        <v>15607.799000000001</v>
      </c>
      <c r="AC14" s="10">
        <v>51241.896000000001</v>
      </c>
      <c r="AD14" s="10">
        <v>66849.695999999996</v>
      </c>
      <c r="AE14" s="11">
        <v>83989.2</v>
      </c>
      <c r="AF14" s="18">
        <v>23.347999999999999</v>
      </c>
      <c r="AG14" s="18">
        <v>18.582999999999998</v>
      </c>
      <c r="AH14" s="18">
        <v>14.372999999999999</v>
      </c>
      <c r="AI14" s="18">
        <v>2.9180000000000001</v>
      </c>
      <c r="AJ14" s="18">
        <v>0.56200000000000006</v>
      </c>
      <c r="AK14" s="18">
        <v>0.72899999999999998</v>
      </c>
    </row>
    <row r="15" spans="1:37" x14ac:dyDescent="0.2">
      <c r="A15" s="9">
        <v>1971</v>
      </c>
      <c r="B15" s="10">
        <v>13548.438</v>
      </c>
      <c r="C15" s="11">
        <v>3332.7260000000001</v>
      </c>
      <c r="D15" s="11">
        <v>5732.12</v>
      </c>
      <c r="E15" s="11">
        <v>1133.71</v>
      </c>
      <c r="F15" s="11">
        <v>532.83900000000006</v>
      </c>
      <c r="G15" s="11">
        <v>159.429</v>
      </c>
      <c r="H15" s="11">
        <v>103.837</v>
      </c>
      <c r="I15" s="11">
        <v>100.07</v>
      </c>
      <c r="J15" s="11">
        <v>169.50200000000001</v>
      </c>
      <c r="K15" s="11">
        <v>2817.0430000000001</v>
      </c>
      <c r="L15" s="11">
        <v>866.89499999999998</v>
      </c>
      <c r="M15" s="11">
        <v>646.06100000000004</v>
      </c>
      <c r="N15" s="11">
        <v>847.947</v>
      </c>
      <c r="O15" s="11">
        <v>348.92</v>
      </c>
      <c r="P15" s="11">
        <v>107.22</v>
      </c>
      <c r="Q15" s="10">
        <v>382.36900000000003</v>
      </c>
      <c r="R15" s="10">
        <v>165.63</v>
      </c>
      <c r="S15" s="10">
        <v>701.09500000000003</v>
      </c>
      <c r="T15" s="10">
        <v>1088.068</v>
      </c>
      <c r="U15" s="11">
        <v>134.036</v>
      </c>
      <c r="V15" s="11">
        <v>439.07400000000001</v>
      </c>
      <c r="W15" s="11">
        <v>404.65199999999999</v>
      </c>
      <c r="X15" s="11">
        <v>110.307</v>
      </c>
      <c r="Y15" s="10">
        <v>1708.6489999999999</v>
      </c>
      <c r="Z15" s="11">
        <v>1565.1849999999999</v>
      </c>
      <c r="AA15" s="11">
        <v>143.46299999999999</v>
      </c>
      <c r="AB15" s="10">
        <v>17594.249</v>
      </c>
      <c r="AC15" s="10">
        <v>56999.457000000002</v>
      </c>
      <c r="AD15" s="10">
        <v>74593.706000000006</v>
      </c>
      <c r="AE15" s="11">
        <v>93629.1</v>
      </c>
      <c r="AF15" s="18">
        <v>23.587</v>
      </c>
      <c r="AG15" s="18">
        <v>18.791</v>
      </c>
      <c r="AH15" s="18">
        <v>14.47</v>
      </c>
      <c r="AI15" s="18">
        <v>2.9870000000000001</v>
      </c>
      <c r="AJ15" s="18">
        <v>0.58499999999999996</v>
      </c>
      <c r="AK15" s="18">
        <v>0.749</v>
      </c>
    </row>
    <row r="16" spans="1:37" x14ac:dyDescent="0.2">
      <c r="A16" s="9">
        <v>1972</v>
      </c>
      <c r="B16" s="10">
        <v>15037.03</v>
      </c>
      <c r="C16" s="11">
        <v>3702.3319999999999</v>
      </c>
      <c r="D16" s="11">
        <v>6381.73</v>
      </c>
      <c r="E16" s="11">
        <v>1237.492</v>
      </c>
      <c r="F16" s="11">
        <v>614.15599999999995</v>
      </c>
      <c r="G16" s="11">
        <v>190.18199999999999</v>
      </c>
      <c r="H16" s="11">
        <v>115.681</v>
      </c>
      <c r="I16" s="11">
        <v>119.37</v>
      </c>
      <c r="J16" s="11">
        <v>188.92400000000001</v>
      </c>
      <c r="K16" s="11">
        <v>3101.32</v>
      </c>
      <c r="L16" s="11">
        <v>999.53899999999999</v>
      </c>
      <c r="M16" s="11">
        <v>717.40300000000002</v>
      </c>
      <c r="N16" s="11">
        <v>937.85799999999995</v>
      </c>
      <c r="O16" s="11">
        <v>329.47</v>
      </c>
      <c r="P16" s="11">
        <v>117.05</v>
      </c>
      <c r="Q16" s="10">
        <v>431.66500000000002</v>
      </c>
      <c r="R16" s="10">
        <v>171.99199999999999</v>
      </c>
      <c r="S16" s="10">
        <v>803.68799999999999</v>
      </c>
      <c r="T16" s="10">
        <v>1255.6579999999999</v>
      </c>
      <c r="U16" s="11">
        <v>154.214</v>
      </c>
      <c r="V16" s="11">
        <v>514.41899999999998</v>
      </c>
      <c r="W16" s="11">
        <v>458.12400000000002</v>
      </c>
      <c r="X16" s="11">
        <v>128.90199999999999</v>
      </c>
      <c r="Y16" s="10">
        <v>1814.184</v>
      </c>
      <c r="Z16" s="11">
        <v>1623.941</v>
      </c>
      <c r="AA16" s="11">
        <v>190.24299999999999</v>
      </c>
      <c r="AB16" s="10">
        <v>19514.217000000001</v>
      </c>
      <c r="AC16" s="10">
        <v>63531.94</v>
      </c>
      <c r="AD16" s="10">
        <v>83046.157000000007</v>
      </c>
      <c r="AE16" s="11">
        <v>104922.5</v>
      </c>
      <c r="AF16" s="18">
        <v>23.498000000000001</v>
      </c>
      <c r="AG16" s="18">
        <v>18.599</v>
      </c>
      <c r="AH16" s="18">
        <v>14.332000000000001</v>
      </c>
      <c r="AI16" s="18">
        <v>2.9260000000000002</v>
      </c>
      <c r="AJ16" s="18">
        <v>0.57499999999999996</v>
      </c>
      <c r="AK16" s="18">
        <v>0.76600000000000001</v>
      </c>
    </row>
    <row r="17" spans="1:37" x14ac:dyDescent="0.2">
      <c r="A17" s="9">
        <v>1973</v>
      </c>
      <c r="B17" s="10">
        <v>16801.057000000001</v>
      </c>
      <c r="C17" s="11">
        <v>3801.1790000000001</v>
      </c>
      <c r="D17" s="11">
        <v>7379.5870000000004</v>
      </c>
      <c r="E17" s="11">
        <v>1405.7539999999999</v>
      </c>
      <c r="F17" s="11">
        <v>712.39099999999996</v>
      </c>
      <c r="G17" s="11">
        <v>224.50899999999999</v>
      </c>
      <c r="H17" s="11">
        <v>130.70599999999999</v>
      </c>
      <c r="I17" s="11">
        <v>140.91999999999999</v>
      </c>
      <c r="J17" s="11">
        <v>216.256</v>
      </c>
      <c r="K17" s="11">
        <v>3502.145</v>
      </c>
      <c r="L17" s="11">
        <v>1153.7280000000001</v>
      </c>
      <c r="M17" s="11">
        <v>814.1</v>
      </c>
      <c r="N17" s="11">
        <v>1083.4570000000001</v>
      </c>
      <c r="O17" s="11">
        <v>325.63</v>
      </c>
      <c r="P17" s="11">
        <v>125.23</v>
      </c>
      <c r="Q17" s="10">
        <v>526.19500000000005</v>
      </c>
      <c r="R17" s="10">
        <v>184.93199999999999</v>
      </c>
      <c r="S17" s="10">
        <v>883.62099999999998</v>
      </c>
      <c r="T17" s="10">
        <v>1476.9459999999999</v>
      </c>
      <c r="U17" s="11">
        <v>189.339</v>
      </c>
      <c r="V17" s="11">
        <v>587.97299999999996</v>
      </c>
      <c r="W17" s="11">
        <v>539.48</v>
      </c>
      <c r="X17" s="11">
        <v>160.155</v>
      </c>
      <c r="Y17" s="10">
        <v>2662.7469999999998</v>
      </c>
      <c r="Z17" s="11">
        <v>2439.1840000000002</v>
      </c>
      <c r="AA17" s="11">
        <v>223.56299999999999</v>
      </c>
      <c r="AB17" s="10">
        <v>22535.498</v>
      </c>
      <c r="AC17" s="10">
        <v>71515.627999999997</v>
      </c>
      <c r="AD17" s="10">
        <v>94051.126000000004</v>
      </c>
      <c r="AE17" s="11">
        <v>118923.4</v>
      </c>
      <c r="AF17" s="18">
        <v>23.960999999999999</v>
      </c>
      <c r="AG17" s="18">
        <v>18.95</v>
      </c>
      <c r="AH17" s="18">
        <v>14.128</v>
      </c>
      <c r="AI17" s="18">
        <v>3.4809999999999999</v>
      </c>
      <c r="AJ17" s="18">
        <v>0.59799999999999998</v>
      </c>
      <c r="AK17" s="18">
        <v>0.74299999999999999</v>
      </c>
    </row>
    <row r="18" spans="1:37" x14ac:dyDescent="0.2">
      <c r="A18" s="9">
        <v>1974</v>
      </c>
      <c r="B18" s="10">
        <v>19576.593000000001</v>
      </c>
      <c r="C18" s="11">
        <v>4063.1959999999999</v>
      </c>
      <c r="D18" s="11">
        <v>8331.5750000000007</v>
      </c>
      <c r="E18" s="11">
        <v>1718.643</v>
      </c>
      <c r="F18" s="11">
        <v>849.654</v>
      </c>
      <c r="G18" s="11">
        <v>268.62</v>
      </c>
      <c r="H18" s="11">
        <v>152.114</v>
      </c>
      <c r="I18" s="11">
        <v>168.61</v>
      </c>
      <c r="J18" s="11">
        <v>260.31</v>
      </c>
      <c r="K18" s="11">
        <v>4613.5249999999996</v>
      </c>
      <c r="L18" s="11">
        <v>1408.463</v>
      </c>
      <c r="M18" s="11">
        <v>990.16700000000003</v>
      </c>
      <c r="N18" s="11">
        <v>1600.085</v>
      </c>
      <c r="O18" s="11">
        <v>408.12</v>
      </c>
      <c r="P18" s="11">
        <v>206.69</v>
      </c>
      <c r="Q18" s="10">
        <v>680.34100000000001</v>
      </c>
      <c r="R18" s="10">
        <v>213.184</v>
      </c>
      <c r="S18" s="10">
        <v>1053.1489999999999</v>
      </c>
      <c r="T18" s="10">
        <v>1678.8030000000001</v>
      </c>
      <c r="U18" s="11">
        <v>222.81399999999999</v>
      </c>
      <c r="V18" s="11">
        <v>672.19899999999996</v>
      </c>
      <c r="W18" s="11">
        <v>599.37199999999996</v>
      </c>
      <c r="X18" s="11">
        <v>184.41800000000001</v>
      </c>
      <c r="Y18" s="10">
        <v>4379.72</v>
      </c>
      <c r="Z18" s="11">
        <v>4141.4690000000001</v>
      </c>
      <c r="AA18" s="11">
        <v>238.251</v>
      </c>
      <c r="AB18" s="10">
        <v>27581.79</v>
      </c>
      <c r="AC18" s="10">
        <v>83042.585000000006</v>
      </c>
      <c r="AD18" s="10">
        <v>110624.375</v>
      </c>
      <c r="AE18" s="11">
        <v>140846.39999999999</v>
      </c>
      <c r="AF18" s="18">
        <v>24.933</v>
      </c>
      <c r="AG18" s="18">
        <v>19.582999999999998</v>
      </c>
      <c r="AH18" s="18">
        <v>13.898999999999999</v>
      </c>
      <c r="AI18" s="18">
        <v>4.3019999999999996</v>
      </c>
      <c r="AJ18" s="18">
        <v>0.63400000000000001</v>
      </c>
      <c r="AK18" s="18">
        <v>0.748</v>
      </c>
    </row>
    <row r="19" spans="1:37" x14ac:dyDescent="0.2">
      <c r="A19" s="9">
        <v>1975</v>
      </c>
      <c r="B19" s="10">
        <v>22476.913</v>
      </c>
      <c r="C19" s="11">
        <v>4679.0249999999996</v>
      </c>
      <c r="D19" s="11">
        <v>9621.8619999999992</v>
      </c>
      <c r="E19" s="11">
        <v>1805.5409999999999</v>
      </c>
      <c r="F19" s="11">
        <v>1000.059</v>
      </c>
      <c r="G19" s="11">
        <v>318.41800000000001</v>
      </c>
      <c r="H19" s="11">
        <v>174.42400000000001</v>
      </c>
      <c r="I19" s="11">
        <v>199.86</v>
      </c>
      <c r="J19" s="11">
        <v>307.35700000000003</v>
      </c>
      <c r="K19" s="11">
        <v>5370.4260000000004</v>
      </c>
      <c r="L19" s="11">
        <v>1786.8219999999999</v>
      </c>
      <c r="M19" s="11">
        <v>1242.682</v>
      </c>
      <c r="N19" s="11">
        <v>1678.492</v>
      </c>
      <c r="O19" s="11">
        <v>413.29</v>
      </c>
      <c r="P19" s="11">
        <v>249.14</v>
      </c>
      <c r="Q19" s="10">
        <v>1014.311</v>
      </c>
      <c r="R19" s="10">
        <v>239.279</v>
      </c>
      <c r="S19" s="10">
        <v>1234.567</v>
      </c>
      <c r="T19" s="10">
        <v>1966.6659999999999</v>
      </c>
      <c r="U19" s="11">
        <v>274.03800000000001</v>
      </c>
      <c r="V19" s="11">
        <v>815.03599999999994</v>
      </c>
      <c r="W19" s="11">
        <v>663.49099999999999</v>
      </c>
      <c r="X19" s="11">
        <v>214.1</v>
      </c>
      <c r="Y19" s="10">
        <v>3788.3910000000001</v>
      </c>
      <c r="Z19" s="11">
        <v>3532.6880000000001</v>
      </c>
      <c r="AA19" s="11">
        <v>255.703</v>
      </c>
      <c r="AB19" s="10">
        <v>30720.128000000001</v>
      </c>
      <c r="AC19" s="10">
        <v>95250.527000000002</v>
      </c>
      <c r="AD19" s="10">
        <v>125970.655</v>
      </c>
      <c r="AE19" s="11">
        <v>162035.5</v>
      </c>
      <c r="AF19" s="18">
        <v>24.387</v>
      </c>
      <c r="AG19" s="18">
        <v>18.959</v>
      </c>
      <c r="AH19" s="18">
        <v>13.872</v>
      </c>
      <c r="AI19" s="18">
        <v>3.552</v>
      </c>
      <c r="AJ19" s="18">
        <v>0.77400000000000002</v>
      </c>
      <c r="AK19" s="18">
        <v>0.76200000000000001</v>
      </c>
    </row>
    <row r="20" spans="1:37" x14ac:dyDescent="0.2">
      <c r="A20" s="9">
        <v>1976</v>
      </c>
      <c r="B20" s="10">
        <v>26190.857</v>
      </c>
      <c r="C20" s="11">
        <v>5377.54</v>
      </c>
      <c r="D20" s="11">
        <v>11187.351000000001</v>
      </c>
      <c r="E20" s="11">
        <v>2170.9859999999999</v>
      </c>
      <c r="F20" s="11">
        <v>1203.9839999999999</v>
      </c>
      <c r="G20" s="11">
        <v>396.60599999999999</v>
      </c>
      <c r="H20" s="11">
        <v>200.846</v>
      </c>
      <c r="I20" s="11">
        <v>248.93</v>
      </c>
      <c r="J20" s="11">
        <v>357.60300000000001</v>
      </c>
      <c r="K20" s="11">
        <v>6250.9960000000001</v>
      </c>
      <c r="L20" s="11">
        <v>2172.5189999999998</v>
      </c>
      <c r="M20" s="11">
        <v>1354.1030000000001</v>
      </c>
      <c r="N20" s="11">
        <v>2022.0229999999999</v>
      </c>
      <c r="O20" s="11">
        <v>417.2</v>
      </c>
      <c r="P20" s="11">
        <v>285.14999999999998</v>
      </c>
      <c r="Q20" s="10">
        <v>1453.8989999999999</v>
      </c>
      <c r="R20" s="10">
        <v>269.58300000000003</v>
      </c>
      <c r="S20" s="10">
        <v>1391.0039999999999</v>
      </c>
      <c r="T20" s="10">
        <v>2251.627</v>
      </c>
      <c r="U20" s="11">
        <v>310.67700000000002</v>
      </c>
      <c r="V20" s="11">
        <v>943.39</v>
      </c>
      <c r="W20" s="11">
        <v>743.97</v>
      </c>
      <c r="X20" s="11">
        <v>253.59</v>
      </c>
      <c r="Y20" s="10">
        <v>4474.924</v>
      </c>
      <c r="Z20" s="11">
        <v>4157.7849999999999</v>
      </c>
      <c r="AA20" s="11">
        <v>317.13900000000001</v>
      </c>
      <c r="AB20" s="10">
        <v>36031.892999999996</v>
      </c>
      <c r="AC20" s="10">
        <v>109638.833</v>
      </c>
      <c r="AD20" s="10">
        <v>145670.72700000001</v>
      </c>
      <c r="AE20" s="11">
        <v>181938.6</v>
      </c>
      <c r="AF20" s="18">
        <v>24.734999999999999</v>
      </c>
      <c r="AG20" s="18">
        <v>19.803999999999998</v>
      </c>
      <c r="AH20" s="18">
        <v>14.395</v>
      </c>
      <c r="AI20" s="18">
        <v>3.6970000000000001</v>
      </c>
      <c r="AJ20" s="18">
        <v>0.94699999999999995</v>
      </c>
      <c r="AK20" s="18">
        <v>0.76500000000000001</v>
      </c>
    </row>
    <row r="21" spans="1:37" x14ac:dyDescent="0.2">
      <c r="A21" s="9">
        <v>1977</v>
      </c>
      <c r="B21" s="10">
        <v>29855.355</v>
      </c>
      <c r="C21" s="11">
        <v>6146.0919999999996</v>
      </c>
      <c r="D21" s="11">
        <v>12778.05</v>
      </c>
      <c r="E21" s="11">
        <v>2457.9180000000001</v>
      </c>
      <c r="F21" s="11">
        <v>1400.3109999999999</v>
      </c>
      <c r="G21" s="11">
        <v>463.50799999999998</v>
      </c>
      <c r="H21" s="11">
        <v>226.34700000000001</v>
      </c>
      <c r="I21" s="11">
        <v>290.93</v>
      </c>
      <c r="J21" s="11">
        <v>419.52600000000001</v>
      </c>
      <c r="K21" s="11">
        <v>7072.9840000000004</v>
      </c>
      <c r="L21" s="11">
        <v>2738.2649999999999</v>
      </c>
      <c r="M21" s="11">
        <v>1511.808</v>
      </c>
      <c r="N21" s="11">
        <v>2086.0619999999999</v>
      </c>
      <c r="O21" s="11">
        <v>401.25</v>
      </c>
      <c r="P21" s="11">
        <v>335.6</v>
      </c>
      <c r="Q21" s="10">
        <v>1887.4690000000001</v>
      </c>
      <c r="R21" s="10">
        <v>292.565</v>
      </c>
      <c r="S21" s="10">
        <v>1561.885</v>
      </c>
      <c r="T21" s="10">
        <v>2585.2350000000001</v>
      </c>
      <c r="U21" s="11">
        <v>353.72800000000001</v>
      </c>
      <c r="V21" s="11">
        <v>1089.2329999999999</v>
      </c>
      <c r="W21" s="11">
        <v>846.83900000000006</v>
      </c>
      <c r="X21" s="11">
        <v>295.43400000000003</v>
      </c>
      <c r="Y21" s="10">
        <v>4678.3909999999996</v>
      </c>
      <c r="Z21" s="11">
        <v>4302.2290000000003</v>
      </c>
      <c r="AA21" s="11">
        <v>376.16300000000001</v>
      </c>
      <c r="AB21" s="10">
        <v>40860.898999999998</v>
      </c>
      <c r="AC21" s="10">
        <v>122526.05499999999</v>
      </c>
      <c r="AD21" s="10">
        <v>163386.95499999999</v>
      </c>
      <c r="AE21" s="11">
        <v>204453.3</v>
      </c>
      <c r="AF21" s="18">
        <v>25.009</v>
      </c>
      <c r="AG21" s="18">
        <v>19.984999999999999</v>
      </c>
      <c r="AH21" s="18">
        <v>14.603</v>
      </c>
      <c r="AI21" s="18">
        <v>3.5529999999999999</v>
      </c>
      <c r="AJ21" s="18">
        <v>1.0660000000000001</v>
      </c>
      <c r="AK21" s="18">
        <v>0.76400000000000001</v>
      </c>
    </row>
    <row r="22" spans="1:37" x14ac:dyDescent="0.2">
      <c r="A22" s="9">
        <v>1978</v>
      </c>
      <c r="B22" s="10">
        <v>34112.207000000002</v>
      </c>
      <c r="C22" s="11">
        <v>6907.6220000000003</v>
      </c>
      <c r="D22" s="11">
        <v>14480.647000000001</v>
      </c>
      <c r="E22" s="11">
        <v>2646.0459999999998</v>
      </c>
      <c r="F22" s="11">
        <v>1613.6469999999999</v>
      </c>
      <c r="G22" s="11">
        <v>519.745</v>
      </c>
      <c r="H22" s="11">
        <v>256.863</v>
      </c>
      <c r="I22" s="11">
        <v>326.23</v>
      </c>
      <c r="J22" s="11">
        <v>510.80900000000003</v>
      </c>
      <c r="K22" s="11">
        <v>8464.2450000000008</v>
      </c>
      <c r="L22" s="11">
        <v>3264.415</v>
      </c>
      <c r="M22" s="11">
        <v>1791.81</v>
      </c>
      <c r="N22" s="11">
        <v>2571.4299999999998</v>
      </c>
      <c r="O22" s="11">
        <v>477.22</v>
      </c>
      <c r="P22" s="11">
        <v>359.37</v>
      </c>
      <c r="Q22" s="10">
        <v>2357.8789999999999</v>
      </c>
      <c r="R22" s="10">
        <v>331.43099999999998</v>
      </c>
      <c r="S22" s="10">
        <v>1737.163</v>
      </c>
      <c r="T22" s="10">
        <v>2979.7049999999999</v>
      </c>
      <c r="U22" s="11">
        <v>397.02800000000002</v>
      </c>
      <c r="V22" s="11">
        <v>1288.057</v>
      </c>
      <c r="W22" s="11">
        <v>959.86699999999996</v>
      </c>
      <c r="X22" s="11">
        <v>334.75400000000002</v>
      </c>
      <c r="Y22" s="10">
        <v>5382.134</v>
      </c>
      <c r="Z22" s="11">
        <v>4940.18</v>
      </c>
      <c r="AA22" s="11">
        <v>441.95400000000001</v>
      </c>
      <c r="AB22" s="10">
        <v>46900.517999999996</v>
      </c>
      <c r="AC22" s="10">
        <v>137689.50399999999</v>
      </c>
      <c r="AD22" s="10">
        <v>184590.022</v>
      </c>
      <c r="AE22" s="11">
        <v>235597.8</v>
      </c>
      <c r="AF22" s="18">
        <v>25.408000000000001</v>
      </c>
      <c r="AG22" s="18">
        <v>19.907</v>
      </c>
      <c r="AH22" s="18">
        <v>14.478999999999999</v>
      </c>
      <c r="AI22" s="18">
        <v>3.5489999999999999</v>
      </c>
      <c r="AJ22" s="18">
        <v>1.141</v>
      </c>
      <c r="AK22" s="18">
        <v>0.73699999999999999</v>
      </c>
    </row>
    <row r="23" spans="1:37" x14ac:dyDescent="0.2">
      <c r="A23" s="9">
        <v>1979</v>
      </c>
      <c r="B23" s="10">
        <v>39342.396999999997</v>
      </c>
      <c r="C23" s="11">
        <v>7819.8410000000003</v>
      </c>
      <c r="D23" s="11">
        <v>16848.483</v>
      </c>
      <c r="E23" s="11">
        <v>2921.7719999999999</v>
      </c>
      <c r="F23" s="11">
        <v>1843.5060000000001</v>
      </c>
      <c r="G23" s="11">
        <v>607.06500000000005</v>
      </c>
      <c r="H23" s="11">
        <v>292.83999999999997</v>
      </c>
      <c r="I23" s="11">
        <v>381.03</v>
      </c>
      <c r="J23" s="11">
        <v>562.57100000000003</v>
      </c>
      <c r="K23" s="11">
        <v>9908.7970000000005</v>
      </c>
      <c r="L23" s="11">
        <v>3878.4070000000002</v>
      </c>
      <c r="M23" s="11">
        <v>2051.41</v>
      </c>
      <c r="N23" s="11">
        <v>2983.28</v>
      </c>
      <c r="O23" s="11">
        <v>571.34</v>
      </c>
      <c r="P23" s="11">
        <v>424.36</v>
      </c>
      <c r="Q23" s="10">
        <v>3058.181</v>
      </c>
      <c r="R23" s="10">
        <v>396.995</v>
      </c>
      <c r="S23" s="10">
        <v>1847.7850000000001</v>
      </c>
      <c r="T23" s="10">
        <v>3414.2860000000001</v>
      </c>
      <c r="U23" s="11">
        <v>446.14499999999998</v>
      </c>
      <c r="V23" s="11">
        <v>1476.7529999999999</v>
      </c>
      <c r="W23" s="11">
        <v>1105.788</v>
      </c>
      <c r="X23" s="11">
        <v>385.6</v>
      </c>
      <c r="Y23" s="10">
        <v>6773.2790000000005</v>
      </c>
      <c r="Z23" s="11">
        <v>6191.75</v>
      </c>
      <c r="AA23" s="11">
        <v>581.529</v>
      </c>
      <c r="AB23" s="10">
        <v>54832.923000000003</v>
      </c>
      <c r="AC23" s="10">
        <v>156943.07800000001</v>
      </c>
      <c r="AD23" s="10">
        <v>211776.00099999999</v>
      </c>
      <c r="AE23" s="11">
        <v>263596.79999999999</v>
      </c>
      <c r="AF23" s="18">
        <v>25.891999999999999</v>
      </c>
      <c r="AG23" s="18">
        <v>20.802</v>
      </c>
      <c r="AH23" s="18">
        <v>14.925000000000001</v>
      </c>
      <c r="AI23" s="18">
        <v>3.8650000000000002</v>
      </c>
      <c r="AJ23" s="18">
        <v>1.3109999999999999</v>
      </c>
      <c r="AK23" s="18">
        <v>0.70099999999999996</v>
      </c>
    </row>
    <row r="24" spans="1:37" x14ac:dyDescent="0.2">
      <c r="A24" s="9">
        <v>1980</v>
      </c>
      <c r="B24" s="10">
        <v>47592.184000000001</v>
      </c>
      <c r="C24" s="11">
        <v>8884.8310000000001</v>
      </c>
      <c r="D24" s="11">
        <v>19961.667000000001</v>
      </c>
      <c r="E24" s="11">
        <v>3504.56</v>
      </c>
      <c r="F24" s="11">
        <v>2100.6370000000002</v>
      </c>
      <c r="G24" s="11">
        <v>699.84299999999996</v>
      </c>
      <c r="H24" s="11">
        <v>321.988</v>
      </c>
      <c r="I24" s="11">
        <v>439.27</v>
      </c>
      <c r="J24" s="11">
        <v>639.53599999999994</v>
      </c>
      <c r="K24" s="11">
        <v>13140.49</v>
      </c>
      <c r="L24" s="11">
        <v>4960.4719999999998</v>
      </c>
      <c r="M24" s="11">
        <v>2884.2559999999999</v>
      </c>
      <c r="N24" s="11">
        <v>4069.0610000000001</v>
      </c>
      <c r="O24" s="11">
        <v>637.51099999999997</v>
      </c>
      <c r="P24" s="11">
        <v>589.19000000000005</v>
      </c>
      <c r="Q24" s="10">
        <v>3656.663</v>
      </c>
      <c r="R24" s="10">
        <v>458.61799999999999</v>
      </c>
      <c r="S24" s="10">
        <v>2137.7170000000001</v>
      </c>
      <c r="T24" s="10">
        <v>4167.665</v>
      </c>
      <c r="U24" s="11">
        <v>603.26499999999999</v>
      </c>
      <c r="V24" s="11">
        <v>1787.116</v>
      </c>
      <c r="W24" s="11">
        <v>1336.521</v>
      </c>
      <c r="X24" s="11">
        <v>440.76299999999998</v>
      </c>
      <c r="Y24" s="10">
        <v>7498.4669999999996</v>
      </c>
      <c r="Z24" s="11">
        <v>6762.09</v>
      </c>
      <c r="AA24" s="11">
        <v>736.37699999999995</v>
      </c>
      <c r="AB24" s="10">
        <v>65511.313999999998</v>
      </c>
      <c r="AC24" s="10">
        <v>176791.66099999999</v>
      </c>
      <c r="AD24" s="10">
        <v>242302.97500000001</v>
      </c>
      <c r="AE24" s="11">
        <v>299749.59999999998</v>
      </c>
      <c r="AF24" s="18">
        <v>27.036999999999999</v>
      </c>
      <c r="AG24" s="18">
        <v>21.855</v>
      </c>
      <c r="AH24" s="18">
        <v>15.877000000000001</v>
      </c>
      <c r="AI24" s="18">
        <v>3.8919999999999999</v>
      </c>
      <c r="AJ24" s="18">
        <v>1.373</v>
      </c>
      <c r="AK24" s="18">
        <v>0.71299999999999997</v>
      </c>
    </row>
    <row r="25" spans="1:37" x14ac:dyDescent="0.2">
      <c r="A25" s="9">
        <v>1981</v>
      </c>
      <c r="B25" s="10">
        <v>55226.499000000003</v>
      </c>
      <c r="C25" s="11">
        <v>10080.245000000001</v>
      </c>
      <c r="D25" s="11">
        <v>23776.377</v>
      </c>
      <c r="E25" s="11">
        <v>3933.424</v>
      </c>
      <c r="F25" s="11">
        <v>2430.3449999999998</v>
      </c>
      <c r="G25" s="11">
        <v>820.94899999999996</v>
      </c>
      <c r="H25" s="11">
        <v>357.96499999999997</v>
      </c>
      <c r="I25" s="11">
        <v>515.28</v>
      </c>
      <c r="J25" s="11">
        <v>736.15</v>
      </c>
      <c r="K25" s="11">
        <v>15006.108</v>
      </c>
      <c r="L25" s="11">
        <v>5735.19</v>
      </c>
      <c r="M25" s="11">
        <v>3643.4920000000002</v>
      </c>
      <c r="N25" s="11">
        <v>4244.085</v>
      </c>
      <c r="O25" s="11">
        <v>671.95100000000002</v>
      </c>
      <c r="P25" s="11">
        <v>711.39</v>
      </c>
      <c r="Q25" s="10">
        <v>4324.9750000000004</v>
      </c>
      <c r="R25" s="10">
        <v>509.92700000000002</v>
      </c>
      <c r="S25" s="10">
        <v>2429.1480000000001</v>
      </c>
      <c r="T25" s="10">
        <v>4641.6099999999997</v>
      </c>
      <c r="U25" s="11">
        <v>608.024</v>
      </c>
      <c r="V25" s="11">
        <v>2050.4459999999999</v>
      </c>
      <c r="W25" s="11">
        <v>1528.4780000000001</v>
      </c>
      <c r="X25" s="11">
        <v>454.66199999999998</v>
      </c>
      <c r="Y25" s="10">
        <v>10362.985000000001</v>
      </c>
      <c r="Z25" s="11">
        <v>9407.3799999999992</v>
      </c>
      <c r="AA25" s="11">
        <v>955.60500000000002</v>
      </c>
      <c r="AB25" s="10">
        <v>77495.144</v>
      </c>
      <c r="AC25" s="10">
        <v>203507.72</v>
      </c>
      <c r="AD25" s="10">
        <v>281002.864</v>
      </c>
      <c r="AE25" s="11">
        <v>346513.1</v>
      </c>
      <c r="AF25" s="18">
        <v>27.577999999999999</v>
      </c>
      <c r="AG25" s="18">
        <v>22.364000000000001</v>
      </c>
      <c r="AH25" s="18">
        <v>15.938000000000001</v>
      </c>
      <c r="AI25" s="18">
        <v>4.33</v>
      </c>
      <c r="AJ25" s="18">
        <v>1.395</v>
      </c>
      <c r="AK25" s="18">
        <v>0.70099999999999996</v>
      </c>
    </row>
    <row r="26" spans="1:37" x14ac:dyDescent="0.2">
      <c r="A26" s="9">
        <v>1982</v>
      </c>
      <c r="B26" s="10">
        <v>62529.692000000003</v>
      </c>
      <c r="C26" s="11">
        <v>10623.311</v>
      </c>
      <c r="D26" s="11">
        <v>27380.974999999999</v>
      </c>
      <c r="E26" s="11">
        <v>4507.6149999999998</v>
      </c>
      <c r="F26" s="11">
        <v>2796.14</v>
      </c>
      <c r="G26" s="11">
        <v>922.58900000000006</v>
      </c>
      <c r="H26" s="11">
        <v>395.31</v>
      </c>
      <c r="I26" s="11">
        <v>579.08000000000004</v>
      </c>
      <c r="J26" s="11">
        <v>899.16099999999994</v>
      </c>
      <c r="K26" s="11">
        <v>17221.650000000001</v>
      </c>
      <c r="L26" s="11">
        <v>6802.7979999999998</v>
      </c>
      <c r="M26" s="11">
        <v>4343.268</v>
      </c>
      <c r="N26" s="11">
        <v>4620.6030000000001</v>
      </c>
      <c r="O26" s="11">
        <v>668.49099999999999</v>
      </c>
      <c r="P26" s="11">
        <v>786.49</v>
      </c>
      <c r="Q26" s="10">
        <v>4966.0119999999997</v>
      </c>
      <c r="R26" s="10">
        <v>608.44799999999998</v>
      </c>
      <c r="S26" s="10">
        <v>2747.5929999999998</v>
      </c>
      <c r="T26" s="10">
        <v>5415.4549999999999</v>
      </c>
      <c r="U26" s="11">
        <v>732.36900000000003</v>
      </c>
      <c r="V26" s="11">
        <v>2385.0039999999999</v>
      </c>
      <c r="W26" s="11">
        <v>1776.2090000000001</v>
      </c>
      <c r="X26" s="11">
        <v>521.87300000000005</v>
      </c>
      <c r="Y26" s="10">
        <v>12528.466</v>
      </c>
      <c r="Z26" s="11">
        <v>11383.98</v>
      </c>
      <c r="AA26" s="11">
        <v>1144.4860000000001</v>
      </c>
      <c r="AB26" s="10">
        <v>88795.665999999997</v>
      </c>
      <c r="AC26" s="10">
        <v>235708.40100000001</v>
      </c>
      <c r="AD26" s="10">
        <v>324504.06699999998</v>
      </c>
      <c r="AE26" s="11">
        <v>395889.7</v>
      </c>
      <c r="AF26" s="18">
        <v>27.363</v>
      </c>
      <c r="AG26" s="18">
        <v>22.428999999999998</v>
      </c>
      <c r="AH26" s="18">
        <v>15.795</v>
      </c>
      <c r="AI26" s="18">
        <v>4.5330000000000004</v>
      </c>
      <c r="AJ26" s="18">
        <v>1.4079999999999999</v>
      </c>
      <c r="AK26" s="18">
        <v>0.69399999999999995</v>
      </c>
    </row>
    <row r="27" spans="1:37" x14ac:dyDescent="0.2">
      <c r="A27" s="9">
        <v>1983</v>
      </c>
      <c r="B27" s="10">
        <v>71300.497000000003</v>
      </c>
      <c r="C27" s="11">
        <v>11859.23</v>
      </c>
      <c r="D27" s="11">
        <v>31620.092000000001</v>
      </c>
      <c r="E27" s="11">
        <v>4920.1880000000001</v>
      </c>
      <c r="F27" s="11">
        <v>3097.1329999999998</v>
      </c>
      <c r="G27" s="11">
        <v>1008.107</v>
      </c>
      <c r="H27" s="11">
        <v>444.04199999999997</v>
      </c>
      <c r="I27" s="11">
        <v>632.75</v>
      </c>
      <c r="J27" s="11">
        <v>1012.234</v>
      </c>
      <c r="K27" s="11">
        <v>19803.855</v>
      </c>
      <c r="L27" s="11">
        <v>8146.0349999999999</v>
      </c>
      <c r="M27" s="11">
        <v>5083.683</v>
      </c>
      <c r="N27" s="11">
        <v>4972.5259999999998</v>
      </c>
      <c r="O27" s="11">
        <v>741.43100000000004</v>
      </c>
      <c r="P27" s="11">
        <v>860.18</v>
      </c>
      <c r="Q27" s="10">
        <v>5637.61</v>
      </c>
      <c r="R27" s="10">
        <v>671.726</v>
      </c>
      <c r="S27" s="10">
        <v>3116.5929999999998</v>
      </c>
      <c r="T27" s="10">
        <v>6150.8590000000004</v>
      </c>
      <c r="U27" s="11">
        <v>862.85699999999997</v>
      </c>
      <c r="V27" s="11">
        <v>2671.31</v>
      </c>
      <c r="W27" s="11">
        <v>2007.605</v>
      </c>
      <c r="X27" s="11">
        <v>609.08799999999997</v>
      </c>
      <c r="Y27" s="10">
        <v>14632.200999999999</v>
      </c>
      <c r="Z27" s="11">
        <v>13273.17</v>
      </c>
      <c r="AA27" s="11">
        <v>1359.0309999999999</v>
      </c>
      <c r="AB27" s="10">
        <v>101509.486</v>
      </c>
      <c r="AC27" s="10">
        <v>257111.5</v>
      </c>
      <c r="AD27" s="10">
        <v>358620.98599999998</v>
      </c>
      <c r="AE27" s="11">
        <v>433335.4</v>
      </c>
      <c r="AF27" s="18">
        <v>28.306000000000001</v>
      </c>
      <c r="AG27" s="18">
        <v>23.425000000000001</v>
      </c>
      <c r="AH27" s="18">
        <v>16.454000000000001</v>
      </c>
      <c r="AI27" s="18">
        <v>4.7960000000000003</v>
      </c>
      <c r="AJ27" s="18">
        <v>1.456</v>
      </c>
      <c r="AK27" s="18">
        <v>0.71899999999999997</v>
      </c>
    </row>
    <row r="28" spans="1:37" x14ac:dyDescent="0.2">
      <c r="A28" s="9">
        <v>1984</v>
      </c>
      <c r="B28" s="10">
        <v>80036.175000000003</v>
      </c>
      <c r="C28" s="11">
        <v>13055.334999999999</v>
      </c>
      <c r="D28" s="11">
        <v>35916.853999999999</v>
      </c>
      <c r="E28" s="11">
        <v>5284.7809999999999</v>
      </c>
      <c r="F28" s="11">
        <v>3408.1309999999999</v>
      </c>
      <c r="G28" s="11">
        <v>1106.973</v>
      </c>
      <c r="H28" s="11">
        <v>531.48599999999999</v>
      </c>
      <c r="I28" s="11">
        <v>694.81</v>
      </c>
      <c r="J28" s="11">
        <v>1074.8620000000001</v>
      </c>
      <c r="K28" s="11">
        <v>22371.074000000001</v>
      </c>
      <c r="L28" s="11">
        <v>9647.5259999999998</v>
      </c>
      <c r="M28" s="11">
        <v>5795.982</v>
      </c>
      <c r="N28" s="11">
        <v>5208.5839999999998</v>
      </c>
      <c r="O28" s="11">
        <v>799.37099999999998</v>
      </c>
      <c r="P28" s="11">
        <v>919.61</v>
      </c>
      <c r="Q28" s="10">
        <v>6672.7610000000004</v>
      </c>
      <c r="R28" s="10">
        <v>734.22299999999996</v>
      </c>
      <c r="S28" s="10">
        <v>3338.0610000000001</v>
      </c>
      <c r="T28" s="10">
        <v>7222.4719999999998</v>
      </c>
      <c r="U28" s="11">
        <v>1062.078</v>
      </c>
      <c r="V28" s="11">
        <v>3081.4180000000001</v>
      </c>
      <c r="W28" s="11">
        <v>2335.6509999999998</v>
      </c>
      <c r="X28" s="11">
        <v>743.32500000000005</v>
      </c>
      <c r="Y28" s="10">
        <v>16723.343000000001</v>
      </c>
      <c r="Z28" s="11">
        <v>15161.83</v>
      </c>
      <c r="AA28" s="11">
        <v>1561.5129999999999</v>
      </c>
      <c r="AB28" s="10">
        <v>114727.037</v>
      </c>
      <c r="AC28" s="10">
        <v>274994.69199999998</v>
      </c>
      <c r="AD28" s="10">
        <v>389721.72899999999</v>
      </c>
      <c r="AE28" s="11">
        <v>462165.4</v>
      </c>
      <c r="AF28" s="18">
        <v>29.437999999999999</v>
      </c>
      <c r="AG28" s="18">
        <v>24.824000000000002</v>
      </c>
      <c r="AH28" s="18">
        <v>17.318000000000001</v>
      </c>
      <c r="AI28" s="18">
        <v>5.181</v>
      </c>
      <c r="AJ28" s="18">
        <v>1.603</v>
      </c>
      <c r="AK28" s="18">
        <v>0.72199999999999998</v>
      </c>
    </row>
    <row r="29" spans="1:37" x14ac:dyDescent="0.2">
      <c r="A29" s="9">
        <v>1985</v>
      </c>
      <c r="B29" s="10">
        <v>87854.339000000007</v>
      </c>
      <c r="C29" s="11">
        <v>14265.796</v>
      </c>
      <c r="D29" s="11">
        <v>39172.377999999997</v>
      </c>
      <c r="E29" s="11">
        <v>5674.3680000000004</v>
      </c>
      <c r="F29" s="11">
        <v>3689.239</v>
      </c>
      <c r="G29" s="11">
        <v>1217.5050000000001</v>
      </c>
      <c r="H29" s="11">
        <v>572.01300000000003</v>
      </c>
      <c r="I29" s="11">
        <v>764.19</v>
      </c>
      <c r="J29" s="11">
        <v>1135.5309999999999</v>
      </c>
      <c r="K29" s="11">
        <v>25052.558000000001</v>
      </c>
      <c r="L29" s="11">
        <v>10829.217000000001</v>
      </c>
      <c r="M29" s="11">
        <v>6587.8230000000003</v>
      </c>
      <c r="N29" s="11">
        <v>5705.6959999999999</v>
      </c>
      <c r="O29" s="11">
        <v>914.37199999999996</v>
      </c>
      <c r="P29" s="11">
        <v>1015.45</v>
      </c>
      <c r="Q29" s="10">
        <v>7516.1869999999999</v>
      </c>
      <c r="R29" s="10">
        <v>890.16899999999998</v>
      </c>
      <c r="S29" s="10">
        <v>3556.203</v>
      </c>
      <c r="T29" s="10">
        <v>7907.5029999999997</v>
      </c>
      <c r="U29" s="11">
        <v>1194.6579999999999</v>
      </c>
      <c r="V29" s="11">
        <v>3416.8020000000001</v>
      </c>
      <c r="W29" s="11">
        <v>2463.7979999999998</v>
      </c>
      <c r="X29" s="11">
        <v>832.245</v>
      </c>
      <c r="Y29" s="10">
        <v>18981.809000000001</v>
      </c>
      <c r="Z29" s="11">
        <v>17186.14</v>
      </c>
      <c r="AA29" s="11">
        <v>1795.6690000000001</v>
      </c>
      <c r="AB29" s="10">
        <v>126706.211</v>
      </c>
      <c r="AC29" s="10">
        <v>295163.35499999998</v>
      </c>
      <c r="AD29" s="10">
        <v>421869.56599999999</v>
      </c>
      <c r="AE29" s="11">
        <v>494454.5</v>
      </c>
      <c r="AF29" s="18">
        <v>30.033999999999999</v>
      </c>
      <c r="AG29" s="18">
        <v>25.625</v>
      </c>
      <c r="AH29" s="18">
        <v>17.768000000000001</v>
      </c>
      <c r="AI29" s="18">
        <v>5.4379999999999997</v>
      </c>
      <c r="AJ29" s="18">
        <v>1.7</v>
      </c>
      <c r="AK29" s="18">
        <v>0.71899999999999997</v>
      </c>
    </row>
    <row r="30" spans="1:37" x14ac:dyDescent="0.2">
      <c r="A30" s="9">
        <v>1986</v>
      </c>
      <c r="B30" s="10">
        <v>91218.907999999996</v>
      </c>
      <c r="C30" s="11">
        <v>15390.727000000001</v>
      </c>
      <c r="D30" s="11">
        <v>42626.616000000002</v>
      </c>
      <c r="E30" s="11">
        <v>6026.2209999999995</v>
      </c>
      <c r="F30" s="11">
        <v>3948.1239999999998</v>
      </c>
      <c r="G30" s="11">
        <v>1283.2049999999999</v>
      </c>
      <c r="H30" s="11">
        <v>618.01</v>
      </c>
      <c r="I30" s="11">
        <v>805.42</v>
      </c>
      <c r="J30" s="11">
        <v>1241.489</v>
      </c>
      <c r="K30" s="11">
        <v>23227.219000000001</v>
      </c>
      <c r="L30" s="11">
        <v>11105.916999999999</v>
      </c>
      <c r="M30" s="11">
        <v>6024.0619999999999</v>
      </c>
      <c r="N30" s="11">
        <v>4238.527</v>
      </c>
      <c r="O30" s="11">
        <v>943.89200000000005</v>
      </c>
      <c r="P30" s="11">
        <v>914.82</v>
      </c>
      <c r="Q30" s="10">
        <v>7780.7960000000003</v>
      </c>
      <c r="R30" s="10">
        <v>1056.3979999999999</v>
      </c>
      <c r="S30" s="10">
        <v>3749.22</v>
      </c>
      <c r="T30" s="10">
        <v>8545.6949999999997</v>
      </c>
      <c r="U30" s="11">
        <v>1282.31</v>
      </c>
      <c r="V30" s="11">
        <v>3757.7310000000002</v>
      </c>
      <c r="W30" s="11">
        <v>2592.37</v>
      </c>
      <c r="X30" s="11">
        <v>913.28499999999997</v>
      </c>
      <c r="Y30" s="10">
        <v>20611.572</v>
      </c>
      <c r="Z30" s="11">
        <v>18504.150000000001</v>
      </c>
      <c r="AA30" s="11">
        <v>2107.422</v>
      </c>
      <c r="AB30" s="10">
        <v>132962.58900000001</v>
      </c>
      <c r="AC30" s="10">
        <v>316610.28700000001</v>
      </c>
      <c r="AD30" s="10">
        <v>449572.87599999999</v>
      </c>
      <c r="AE30" s="11">
        <v>520851.3</v>
      </c>
      <c r="AF30" s="18">
        <v>29.574999999999999</v>
      </c>
      <c r="AG30" s="18">
        <v>25.527999999999999</v>
      </c>
      <c r="AH30" s="18">
        <v>17.513000000000002</v>
      </c>
      <c r="AI30" s="18">
        <v>5.5979999999999999</v>
      </c>
      <c r="AJ30" s="18">
        <v>1.6970000000000001</v>
      </c>
      <c r="AK30" s="18">
        <v>0.72</v>
      </c>
    </row>
    <row r="31" spans="1:37" x14ac:dyDescent="0.2">
      <c r="A31" s="9">
        <v>1987</v>
      </c>
      <c r="B31" s="10">
        <v>96087.262000000002</v>
      </c>
      <c r="C31" s="11">
        <v>16652.313999999998</v>
      </c>
      <c r="D31" s="11">
        <v>46668.118000000002</v>
      </c>
      <c r="E31" s="11">
        <v>6565.585</v>
      </c>
      <c r="F31" s="11">
        <v>4242.9070000000002</v>
      </c>
      <c r="G31" s="11">
        <v>1407.527</v>
      </c>
      <c r="H31" s="11">
        <v>674.02700000000004</v>
      </c>
      <c r="I31" s="11">
        <v>883.46</v>
      </c>
      <c r="J31" s="11">
        <v>1277.894</v>
      </c>
      <c r="K31" s="11">
        <v>21958.338</v>
      </c>
      <c r="L31" s="11">
        <v>11409.93</v>
      </c>
      <c r="M31" s="11">
        <v>5209.13</v>
      </c>
      <c r="N31" s="11">
        <v>3582.8249999999998</v>
      </c>
      <c r="O31" s="11">
        <v>900.59299999999996</v>
      </c>
      <c r="P31" s="11">
        <v>855.86</v>
      </c>
      <c r="Q31" s="10">
        <v>8458.5220000000008</v>
      </c>
      <c r="R31" s="10">
        <v>1187.7059999999999</v>
      </c>
      <c r="S31" s="10">
        <v>4002.4470000000001</v>
      </c>
      <c r="T31" s="10">
        <v>9149.1849999999995</v>
      </c>
      <c r="U31" s="11">
        <v>1660.7059999999999</v>
      </c>
      <c r="V31" s="11">
        <v>4044.3209999999999</v>
      </c>
      <c r="W31" s="11">
        <v>2547.0720000000001</v>
      </c>
      <c r="X31" s="11">
        <v>897.08699999999999</v>
      </c>
      <c r="Y31" s="10">
        <v>22093.425999999999</v>
      </c>
      <c r="Z31" s="11">
        <v>19760.14</v>
      </c>
      <c r="AA31" s="11">
        <v>2333.2860000000001</v>
      </c>
      <c r="AB31" s="10">
        <v>140978.54999999999</v>
      </c>
      <c r="AC31" s="10">
        <v>337294.18599999999</v>
      </c>
      <c r="AD31" s="10">
        <v>478272.73599999998</v>
      </c>
      <c r="AE31" s="11">
        <v>543642.9</v>
      </c>
      <c r="AF31" s="18">
        <v>29.477</v>
      </c>
      <c r="AG31" s="18">
        <v>25.931999999999999</v>
      </c>
      <c r="AH31" s="18">
        <v>17.675000000000001</v>
      </c>
      <c r="AI31" s="18">
        <v>5.7469999999999999</v>
      </c>
      <c r="AJ31" s="18">
        <v>1.774</v>
      </c>
      <c r="AK31" s="18">
        <v>0.73599999999999999</v>
      </c>
    </row>
    <row r="32" spans="1:37" x14ac:dyDescent="0.2">
      <c r="A32" s="9">
        <v>1988</v>
      </c>
      <c r="B32" s="10">
        <v>102083.842</v>
      </c>
      <c r="C32" s="11">
        <v>18365.473999999998</v>
      </c>
      <c r="D32" s="11">
        <v>51710.014000000003</v>
      </c>
      <c r="E32" s="11">
        <v>6961.9639999999999</v>
      </c>
      <c r="F32" s="11">
        <v>4509.5889999999999</v>
      </c>
      <c r="G32" s="11">
        <v>1496.539</v>
      </c>
      <c r="H32" s="11">
        <v>704.54300000000001</v>
      </c>
      <c r="I32" s="11">
        <v>939.33</v>
      </c>
      <c r="J32" s="11">
        <v>1369.1769999999999</v>
      </c>
      <c r="K32" s="11">
        <v>20536.802</v>
      </c>
      <c r="L32" s="11">
        <v>11123.217000000001</v>
      </c>
      <c r="M32" s="11">
        <v>4771.3270000000002</v>
      </c>
      <c r="N32" s="11">
        <v>3066.875</v>
      </c>
      <c r="O32" s="11">
        <v>833.61300000000006</v>
      </c>
      <c r="P32" s="11">
        <v>741.77</v>
      </c>
      <c r="Q32" s="10">
        <v>8607.3790000000008</v>
      </c>
      <c r="R32" s="10">
        <v>1292.557</v>
      </c>
      <c r="S32" s="10">
        <v>4338.3370000000004</v>
      </c>
      <c r="T32" s="10">
        <v>9731.9470000000001</v>
      </c>
      <c r="U32" s="11">
        <v>1735.81</v>
      </c>
      <c r="V32" s="11">
        <v>4378.3630000000003</v>
      </c>
      <c r="W32" s="11">
        <v>2672.3440000000001</v>
      </c>
      <c r="X32" s="11">
        <v>945.42899999999997</v>
      </c>
      <c r="Y32" s="10">
        <v>24056.701000000001</v>
      </c>
      <c r="Z32" s="11">
        <v>21491.23</v>
      </c>
      <c r="AA32" s="11">
        <v>2565.471</v>
      </c>
      <c r="AB32" s="10">
        <v>150110.76300000001</v>
      </c>
      <c r="AC32" s="10">
        <v>357274.95699999999</v>
      </c>
      <c r="AD32" s="10">
        <v>507385.72</v>
      </c>
      <c r="AE32" s="11">
        <v>577509.80000000005</v>
      </c>
      <c r="AF32" s="18">
        <v>29.585000000000001</v>
      </c>
      <c r="AG32" s="18">
        <v>25.992999999999999</v>
      </c>
      <c r="AH32" s="18">
        <v>17.677</v>
      </c>
      <c r="AI32" s="18">
        <v>5.851</v>
      </c>
      <c r="AJ32" s="18">
        <v>1.714</v>
      </c>
      <c r="AK32" s="18">
        <v>0.751</v>
      </c>
    </row>
    <row r="33" spans="1:37" x14ac:dyDescent="0.2">
      <c r="A33" s="9">
        <v>1989</v>
      </c>
      <c r="B33" s="10">
        <v>109740.95299999999</v>
      </c>
      <c r="C33" s="11">
        <v>19763.460999999999</v>
      </c>
      <c r="D33" s="11">
        <v>56889.822</v>
      </c>
      <c r="E33" s="11">
        <v>7426.3720000000003</v>
      </c>
      <c r="F33" s="11">
        <v>4781.7439999999997</v>
      </c>
      <c r="G33" s="11">
        <v>1603.5360000000001</v>
      </c>
      <c r="H33" s="11">
        <v>757.82399999999996</v>
      </c>
      <c r="I33" s="11">
        <v>1006.49</v>
      </c>
      <c r="J33" s="11">
        <v>1413.893</v>
      </c>
      <c r="K33" s="11">
        <v>20879.554</v>
      </c>
      <c r="L33" s="11">
        <v>11249.234</v>
      </c>
      <c r="M33" s="11">
        <v>4768.4269999999997</v>
      </c>
      <c r="N33" s="11">
        <v>3336.2</v>
      </c>
      <c r="O33" s="11">
        <v>771.673</v>
      </c>
      <c r="P33" s="11">
        <v>754.02</v>
      </c>
      <c r="Q33" s="10">
        <v>8980.8469999999998</v>
      </c>
      <c r="R33" s="10">
        <v>1401.3689999999999</v>
      </c>
      <c r="S33" s="10">
        <v>4346.5320000000002</v>
      </c>
      <c r="T33" s="10">
        <v>10223.003000000001</v>
      </c>
      <c r="U33" s="11">
        <v>1818.9380000000001</v>
      </c>
      <c r="V33" s="11">
        <v>4588.6580000000004</v>
      </c>
      <c r="W33" s="11">
        <v>2793.1640000000002</v>
      </c>
      <c r="X33" s="11">
        <v>1022.244</v>
      </c>
      <c r="Y33" s="10">
        <v>27505.348000000002</v>
      </c>
      <c r="Z33" s="11">
        <v>24554.62</v>
      </c>
      <c r="AA33" s="11">
        <v>2950.7280000000001</v>
      </c>
      <c r="AB33" s="10">
        <v>162198.052</v>
      </c>
      <c r="AC33" s="10">
        <v>381518.38400000002</v>
      </c>
      <c r="AD33" s="10">
        <v>543716.43599999999</v>
      </c>
      <c r="AE33" s="11">
        <v>621289.6</v>
      </c>
      <c r="AF33" s="18">
        <v>29.831</v>
      </c>
      <c r="AG33" s="18">
        <v>26.106999999999999</v>
      </c>
      <c r="AH33" s="18">
        <v>17.663</v>
      </c>
      <c r="AI33" s="18">
        <v>6.0730000000000004</v>
      </c>
      <c r="AJ33" s="18">
        <v>1.671</v>
      </c>
      <c r="AK33" s="18">
        <v>0.7</v>
      </c>
    </row>
    <row r="34" spans="1:37" x14ac:dyDescent="0.2">
      <c r="A34" s="9">
        <v>1990</v>
      </c>
      <c r="B34" s="10">
        <v>117627.83</v>
      </c>
      <c r="C34" s="11">
        <v>21098.975999999999</v>
      </c>
      <c r="D34" s="11">
        <v>61195.800999999999</v>
      </c>
      <c r="E34" s="11">
        <v>7904.982</v>
      </c>
      <c r="F34" s="11">
        <v>5120.7740000000003</v>
      </c>
      <c r="G34" s="11">
        <v>1750.2080000000001</v>
      </c>
      <c r="H34" s="11">
        <v>776.50599999999997</v>
      </c>
      <c r="I34" s="11">
        <v>1098.54</v>
      </c>
      <c r="J34" s="11">
        <v>1495.52</v>
      </c>
      <c r="K34" s="11">
        <v>22307.297999999999</v>
      </c>
      <c r="L34" s="11">
        <v>11960.869000000001</v>
      </c>
      <c r="M34" s="11">
        <v>5141.7049999999999</v>
      </c>
      <c r="N34" s="11">
        <v>3625.3319999999999</v>
      </c>
      <c r="O34" s="11">
        <v>784.21299999999997</v>
      </c>
      <c r="P34" s="11">
        <v>795.18</v>
      </c>
      <c r="Q34" s="10">
        <v>9552.0190000000002</v>
      </c>
      <c r="R34" s="10">
        <v>1542.11</v>
      </c>
      <c r="S34" s="10">
        <v>4754.3739999999998</v>
      </c>
      <c r="T34" s="10">
        <v>10847.159</v>
      </c>
      <c r="U34" s="11">
        <v>1998.2149999999999</v>
      </c>
      <c r="V34" s="11">
        <v>4891.5879999999997</v>
      </c>
      <c r="W34" s="11">
        <v>2894.3270000000002</v>
      </c>
      <c r="X34" s="11">
        <v>1063.029</v>
      </c>
      <c r="Y34" s="10">
        <v>28451.931</v>
      </c>
      <c r="Z34" s="11">
        <v>25260.06</v>
      </c>
      <c r="AA34" s="11">
        <v>3191.8710000000001</v>
      </c>
      <c r="AB34" s="10">
        <v>172775.42300000001</v>
      </c>
      <c r="AC34" s="10">
        <v>400633.53399999999</v>
      </c>
      <c r="AD34" s="10">
        <v>573408.95700000005</v>
      </c>
      <c r="AE34" s="11">
        <v>662852.9</v>
      </c>
      <c r="AF34" s="18">
        <v>30.131</v>
      </c>
      <c r="AG34" s="18">
        <v>26.065000000000001</v>
      </c>
      <c r="AH34" s="18">
        <v>17.745999999999999</v>
      </c>
      <c r="AI34" s="18">
        <v>5.9290000000000003</v>
      </c>
      <c r="AJ34" s="18">
        <v>1.6739999999999999</v>
      </c>
      <c r="AK34" s="18">
        <v>0.71699999999999997</v>
      </c>
    </row>
    <row r="35" spans="1:37" x14ac:dyDescent="0.2">
      <c r="A35" s="9">
        <v>1991</v>
      </c>
      <c r="B35" s="10">
        <v>127793.579</v>
      </c>
      <c r="C35" s="11">
        <v>22581.876</v>
      </c>
      <c r="D35" s="11">
        <v>66119.009000000005</v>
      </c>
      <c r="E35" s="11">
        <v>8394.8809999999994</v>
      </c>
      <c r="F35" s="11">
        <v>5504.1660000000002</v>
      </c>
      <c r="G35" s="11">
        <v>1870.2729999999999</v>
      </c>
      <c r="H35" s="11">
        <v>848.43299999999999</v>
      </c>
      <c r="I35" s="11">
        <v>1236.27</v>
      </c>
      <c r="J35" s="11">
        <v>1549.19</v>
      </c>
      <c r="K35" s="11">
        <v>25193.647000000001</v>
      </c>
      <c r="L35" s="11">
        <v>13314.929</v>
      </c>
      <c r="M35" s="11">
        <v>6251.1710000000003</v>
      </c>
      <c r="N35" s="11">
        <v>3914.1239999999998</v>
      </c>
      <c r="O35" s="11">
        <v>838.40300000000002</v>
      </c>
      <c r="P35" s="11">
        <v>875.02</v>
      </c>
      <c r="Q35" s="10">
        <v>10053.481</v>
      </c>
      <c r="R35" s="10">
        <v>1685.82</v>
      </c>
      <c r="S35" s="10">
        <v>4979.5720000000001</v>
      </c>
      <c r="T35" s="10">
        <v>11001.707</v>
      </c>
      <c r="U35" s="11">
        <v>1840.9280000000001</v>
      </c>
      <c r="V35" s="11">
        <v>5228.6779999999999</v>
      </c>
      <c r="W35" s="11">
        <v>2891.1179999999999</v>
      </c>
      <c r="X35" s="11">
        <v>1040.9839999999999</v>
      </c>
      <c r="Y35" s="10">
        <v>26115.503000000001</v>
      </c>
      <c r="Z35" s="11">
        <v>22664.16</v>
      </c>
      <c r="AA35" s="11">
        <v>3451.3429999999998</v>
      </c>
      <c r="AB35" s="10">
        <v>181629.66200000001</v>
      </c>
      <c r="AC35" s="10">
        <v>410881.21500000003</v>
      </c>
      <c r="AD35" s="10">
        <v>592510.87699999998</v>
      </c>
      <c r="AE35" s="11">
        <v>691253.8</v>
      </c>
      <c r="AF35" s="18">
        <v>30.654</v>
      </c>
      <c r="AG35" s="18">
        <v>26.274999999999999</v>
      </c>
      <c r="AH35" s="18">
        <v>18.486999999999998</v>
      </c>
      <c r="AI35" s="18">
        <v>5.37</v>
      </c>
      <c r="AJ35" s="18">
        <v>1.698</v>
      </c>
      <c r="AK35" s="18">
        <v>0.72</v>
      </c>
    </row>
    <row r="36" spans="1:37" x14ac:dyDescent="0.2">
      <c r="A36" s="9">
        <v>1992</v>
      </c>
      <c r="B36" s="10">
        <v>136014.478</v>
      </c>
      <c r="C36" s="11">
        <v>23966.978999999999</v>
      </c>
      <c r="D36" s="11">
        <v>71736.572</v>
      </c>
      <c r="E36" s="11">
        <v>8806.9269999999997</v>
      </c>
      <c r="F36" s="11">
        <v>6140.7359999999999</v>
      </c>
      <c r="G36" s="11">
        <v>2092.0880000000002</v>
      </c>
      <c r="H36" s="11">
        <v>936.87</v>
      </c>
      <c r="I36" s="11">
        <v>1430.33</v>
      </c>
      <c r="J36" s="11">
        <v>1681.4480000000001</v>
      </c>
      <c r="K36" s="11">
        <v>25363.263999999999</v>
      </c>
      <c r="L36" s="11">
        <v>14001.124</v>
      </c>
      <c r="M36" s="11">
        <v>6135.7330000000002</v>
      </c>
      <c r="N36" s="11">
        <v>3533.8739999999998</v>
      </c>
      <c r="O36" s="11">
        <v>791.61300000000006</v>
      </c>
      <c r="P36" s="11">
        <v>900.92</v>
      </c>
      <c r="Q36" s="10">
        <v>10463.891</v>
      </c>
      <c r="R36" s="10">
        <v>1894.9749999999999</v>
      </c>
      <c r="S36" s="10">
        <v>5137.7060000000001</v>
      </c>
      <c r="T36" s="10">
        <v>11614.199000000001</v>
      </c>
      <c r="U36" s="11">
        <v>1918.0920000000001</v>
      </c>
      <c r="V36" s="11">
        <v>5820.2740000000003</v>
      </c>
      <c r="W36" s="11">
        <v>2858.502</v>
      </c>
      <c r="X36" s="11">
        <v>1017.331</v>
      </c>
      <c r="Y36" s="10">
        <v>27047.414000000001</v>
      </c>
      <c r="Z36" s="11">
        <v>23270.29</v>
      </c>
      <c r="AA36" s="11">
        <v>3777.1239999999998</v>
      </c>
      <c r="AB36" s="10">
        <v>192172.663</v>
      </c>
      <c r="AC36" s="10">
        <v>421508.31699999998</v>
      </c>
      <c r="AD36" s="10">
        <v>613680.98</v>
      </c>
      <c r="AE36" s="11">
        <v>723532.5</v>
      </c>
      <c r="AF36" s="18">
        <v>31.315000000000001</v>
      </c>
      <c r="AG36" s="18">
        <v>26.56</v>
      </c>
      <c r="AH36" s="18">
        <v>18.798999999999999</v>
      </c>
      <c r="AI36" s="18">
        <v>5.343</v>
      </c>
      <c r="AJ36" s="18">
        <v>1.708</v>
      </c>
      <c r="AK36" s="18">
        <v>0.71</v>
      </c>
    </row>
    <row r="37" spans="1:37" x14ac:dyDescent="0.2">
      <c r="A37" s="9">
        <v>1993</v>
      </c>
      <c r="B37" s="10">
        <v>143050.78</v>
      </c>
      <c r="C37" s="11">
        <v>24928.516</v>
      </c>
      <c r="D37" s="11">
        <v>76636.252999999997</v>
      </c>
      <c r="E37" s="11">
        <v>9240.4580000000005</v>
      </c>
      <c r="F37" s="11">
        <v>6575.8860000000004</v>
      </c>
      <c r="G37" s="11">
        <v>2249.9360000000001</v>
      </c>
      <c r="H37" s="11">
        <v>1069.846</v>
      </c>
      <c r="I37" s="11">
        <v>1568.23</v>
      </c>
      <c r="J37" s="11">
        <v>1687.875</v>
      </c>
      <c r="K37" s="11">
        <v>25669.667000000001</v>
      </c>
      <c r="L37" s="11">
        <v>14256.46</v>
      </c>
      <c r="M37" s="11">
        <v>6257.9449999999997</v>
      </c>
      <c r="N37" s="11">
        <v>3445.9079999999999</v>
      </c>
      <c r="O37" s="11">
        <v>788.99300000000005</v>
      </c>
      <c r="P37" s="11">
        <v>920.36</v>
      </c>
      <c r="Q37" s="10">
        <v>10902.132</v>
      </c>
      <c r="R37" s="10">
        <v>2020.2860000000001</v>
      </c>
      <c r="S37" s="10">
        <v>5269.7669999999998</v>
      </c>
      <c r="T37" s="10">
        <v>11977.67</v>
      </c>
      <c r="U37" s="11">
        <v>2110.1329999999998</v>
      </c>
      <c r="V37" s="11">
        <v>6007.3909999999996</v>
      </c>
      <c r="W37" s="11">
        <v>2876.6880000000001</v>
      </c>
      <c r="X37" s="11">
        <v>983.45899999999995</v>
      </c>
      <c r="Y37" s="10">
        <v>25288.478999999999</v>
      </c>
      <c r="Z37" s="11">
        <v>21200.3</v>
      </c>
      <c r="AA37" s="11">
        <v>4088.1790000000001</v>
      </c>
      <c r="AB37" s="10">
        <v>198509.114</v>
      </c>
      <c r="AC37" s="10">
        <v>424135.31099999999</v>
      </c>
      <c r="AD37" s="10">
        <v>622644.42599999998</v>
      </c>
      <c r="AE37" s="11">
        <v>739115.5</v>
      </c>
      <c r="AF37" s="18">
        <v>31.882000000000001</v>
      </c>
      <c r="AG37" s="18">
        <v>26.858000000000001</v>
      </c>
      <c r="AH37" s="18">
        <v>19.353999999999999</v>
      </c>
      <c r="AI37" s="18">
        <v>5.0419999999999998</v>
      </c>
      <c r="AJ37" s="18">
        <v>1.748</v>
      </c>
      <c r="AK37" s="18">
        <v>0.71299999999999997</v>
      </c>
    </row>
    <row r="38" spans="1:37" x14ac:dyDescent="0.2">
      <c r="A38" s="9">
        <v>1994</v>
      </c>
      <c r="B38" s="10">
        <v>148317.06</v>
      </c>
      <c r="C38" s="11">
        <v>26080.022000000001</v>
      </c>
      <c r="D38" s="11">
        <v>80591.107999999993</v>
      </c>
      <c r="E38" s="11">
        <v>9552.15</v>
      </c>
      <c r="F38" s="11">
        <v>7300.0439999999999</v>
      </c>
      <c r="G38" s="11">
        <v>2418.8679999999999</v>
      </c>
      <c r="H38" s="11">
        <v>1187.44</v>
      </c>
      <c r="I38" s="11">
        <v>1964.88</v>
      </c>
      <c r="J38" s="11">
        <v>1728.857</v>
      </c>
      <c r="K38" s="11">
        <v>24793.736000000001</v>
      </c>
      <c r="L38" s="11">
        <v>14153.130999999999</v>
      </c>
      <c r="M38" s="11">
        <v>5811.4709999999995</v>
      </c>
      <c r="N38" s="11">
        <v>3060.06</v>
      </c>
      <c r="O38" s="11">
        <v>867.42399999999998</v>
      </c>
      <c r="P38" s="11">
        <v>901.65</v>
      </c>
      <c r="Q38" s="10">
        <v>11414.959000000001</v>
      </c>
      <c r="R38" s="10">
        <v>2158.9580000000001</v>
      </c>
      <c r="S38" s="10">
        <v>5320.8559999999998</v>
      </c>
      <c r="T38" s="10">
        <v>12217.364</v>
      </c>
      <c r="U38" s="11">
        <v>2127.9659999999999</v>
      </c>
      <c r="V38" s="11">
        <v>6158.3249999999998</v>
      </c>
      <c r="W38" s="11">
        <v>3084.306</v>
      </c>
      <c r="X38" s="11">
        <v>846.76700000000005</v>
      </c>
      <c r="Y38" s="10">
        <v>21972.112000000001</v>
      </c>
      <c r="Z38" s="11">
        <v>17742.97</v>
      </c>
      <c r="AA38" s="11">
        <v>4229.1419999999998</v>
      </c>
      <c r="AB38" s="10">
        <v>201401.30900000001</v>
      </c>
      <c r="AC38" s="10">
        <v>437375.37800000003</v>
      </c>
      <c r="AD38" s="10">
        <v>638776.68700000003</v>
      </c>
      <c r="AE38" s="11">
        <v>751735.8</v>
      </c>
      <c r="AF38" s="18">
        <v>31.529</v>
      </c>
      <c r="AG38" s="18">
        <v>26.792000000000002</v>
      </c>
      <c r="AH38" s="18">
        <v>19.73</v>
      </c>
      <c r="AI38" s="18">
        <v>4.548</v>
      </c>
      <c r="AJ38" s="18">
        <v>1.806</v>
      </c>
      <c r="AK38" s="18">
        <v>0.70799999999999996</v>
      </c>
    </row>
    <row r="39" spans="1:37" x14ac:dyDescent="0.2">
      <c r="A39" s="9">
        <v>1995</v>
      </c>
      <c r="B39" s="10">
        <v>155028.217</v>
      </c>
      <c r="C39" s="11">
        <v>27291.328000000001</v>
      </c>
      <c r="D39" s="11">
        <v>84234.736000000004</v>
      </c>
      <c r="E39" s="11">
        <v>9923.3549999999996</v>
      </c>
      <c r="F39" s="11">
        <v>7887.2550000000001</v>
      </c>
      <c r="G39" s="11">
        <v>2516.8829999999998</v>
      </c>
      <c r="H39" s="11">
        <v>1294.039</v>
      </c>
      <c r="I39" s="11">
        <v>2264.5</v>
      </c>
      <c r="J39" s="11">
        <v>1811.8330000000001</v>
      </c>
      <c r="K39" s="11">
        <v>25691.544000000002</v>
      </c>
      <c r="L39" s="11">
        <v>14728.217000000001</v>
      </c>
      <c r="M39" s="11">
        <v>6095.9309999999996</v>
      </c>
      <c r="N39" s="11">
        <v>3072.7820000000002</v>
      </c>
      <c r="O39" s="11">
        <v>852.39400000000001</v>
      </c>
      <c r="P39" s="11">
        <v>942.22</v>
      </c>
      <c r="Q39" s="10">
        <v>11774.397000000001</v>
      </c>
      <c r="R39" s="10">
        <v>2373.4569999999999</v>
      </c>
      <c r="S39" s="10">
        <v>5198.7529999999997</v>
      </c>
      <c r="T39" s="10">
        <v>11759.376</v>
      </c>
      <c r="U39" s="11">
        <v>2354.0790000000002</v>
      </c>
      <c r="V39" s="11">
        <v>5753.1319999999996</v>
      </c>
      <c r="W39" s="11">
        <v>2893.6849999999999</v>
      </c>
      <c r="X39" s="11">
        <v>758.48</v>
      </c>
      <c r="Y39" s="10">
        <v>18534.66</v>
      </c>
      <c r="Z39" s="11">
        <v>14443.9</v>
      </c>
      <c r="AA39" s="11">
        <v>4090.76</v>
      </c>
      <c r="AB39" s="10">
        <v>204668.859</v>
      </c>
      <c r="AC39" s="10">
        <v>450425.924</v>
      </c>
      <c r="AD39" s="10">
        <v>655094.78300000005</v>
      </c>
      <c r="AE39" s="11">
        <v>777037.4</v>
      </c>
      <c r="AF39" s="18">
        <v>31.242999999999999</v>
      </c>
      <c r="AG39" s="18">
        <v>26.34</v>
      </c>
      <c r="AH39" s="18">
        <v>19.951000000000001</v>
      </c>
      <c r="AI39" s="18">
        <v>3.899</v>
      </c>
      <c r="AJ39" s="18">
        <v>1.821</v>
      </c>
      <c r="AK39" s="18">
        <v>0.66900000000000004</v>
      </c>
    </row>
    <row r="40" spans="1:37" x14ac:dyDescent="0.2">
      <c r="A40" s="9">
        <v>1996</v>
      </c>
      <c r="B40" s="10">
        <v>162229.32800000001</v>
      </c>
      <c r="C40" s="11">
        <v>28414.511999999999</v>
      </c>
      <c r="D40" s="11">
        <v>87152.085000000006</v>
      </c>
      <c r="E40" s="11">
        <v>10286.33</v>
      </c>
      <c r="F40" s="11">
        <v>8481.6910000000007</v>
      </c>
      <c r="G40" s="11">
        <v>2714.9949999999999</v>
      </c>
      <c r="H40" s="11">
        <v>1423.7170000000001</v>
      </c>
      <c r="I40" s="11">
        <v>2484.9</v>
      </c>
      <c r="J40" s="11">
        <v>1858.078</v>
      </c>
      <c r="K40" s="11">
        <v>27894.71</v>
      </c>
      <c r="L40" s="11">
        <v>15598.005999999999</v>
      </c>
      <c r="M40" s="11">
        <v>6760.6509999999998</v>
      </c>
      <c r="N40" s="11">
        <v>3648.9690000000001</v>
      </c>
      <c r="O40" s="11">
        <v>862.69399999999996</v>
      </c>
      <c r="P40" s="11">
        <v>1024.3900000000001</v>
      </c>
      <c r="Q40" s="10">
        <v>12134.655000000001</v>
      </c>
      <c r="R40" s="10">
        <v>2567.7539999999999</v>
      </c>
      <c r="S40" s="10">
        <v>5680.7240000000002</v>
      </c>
      <c r="T40" s="10">
        <v>12524.956</v>
      </c>
      <c r="U40" s="11">
        <v>2453.58</v>
      </c>
      <c r="V40" s="11">
        <v>6196.8149999999996</v>
      </c>
      <c r="W40" s="11">
        <v>3077.951</v>
      </c>
      <c r="X40" s="11">
        <v>796.61</v>
      </c>
      <c r="Y40" s="10">
        <v>19481.036</v>
      </c>
      <c r="Z40" s="11">
        <v>15241.14</v>
      </c>
      <c r="AA40" s="11">
        <v>4239.8959999999997</v>
      </c>
      <c r="AB40" s="10">
        <v>214618.45300000001</v>
      </c>
      <c r="AC40" s="10">
        <v>463032.29700000002</v>
      </c>
      <c r="AD40" s="10">
        <v>677650.75</v>
      </c>
      <c r="AE40" s="11">
        <v>795981.3</v>
      </c>
      <c r="AF40" s="18">
        <v>31.670999999999999</v>
      </c>
      <c r="AG40" s="18">
        <v>26.963000000000001</v>
      </c>
      <c r="AH40" s="18">
        <v>20.381</v>
      </c>
      <c r="AI40" s="18">
        <v>4.0209999999999999</v>
      </c>
      <c r="AJ40" s="18">
        <v>1.847</v>
      </c>
      <c r="AK40" s="18">
        <v>0.71399999999999997</v>
      </c>
    </row>
    <row r="41" spans="1:37" x14ac:dyDescent="0.2">
      <c r="A41" s="9">
        <v>1997</v>
      </c>
      <c r="B41" s="10">
        <v>166051.85800000001</v>
      </c>
      <c r="C41" s="11">
        <v>29491.669000000002</v>
      </c>
      <c r="D41" s="11">
        <v>90228.326000000001</v>
      </c>
      <c r="E41" s="11">
        <v>10535.047</v>
      </c>
      <c r="F41" s="11">
        <v>8980.8140000000003</v>
      </c>
      <c r="G41" s="11">
        <v>2807.7429999999999</v>
      </c>
      <c r="H41" s="11">
        <v>1520.422</v>
      </c>
      <c r="I41" s="11">
        <v>2703.85</v>
      </c>
      <c r="J41" s="11">
        <v>1948.799</v>
      </c>
      <c r="K41" s="11">
        <v>26816.002</v>
      </c>
      <c r="L41" s="11">
        <v>14898.695</v>
      </c>
      <c r="M41" s="11">
        <v>6493.2420000000002</v>
      </c>
      <c r="N41" s="11">
        <v>3571.0709999999999</v>
      </c>
      <c r="O41" s="11">
        <v>828.18399999999997</v>
      </c>
      <c r="P41" s="11">
        <v>1024.81</v>
      </c>
      <c r="Q41" s="10">
        <v>12391.995000000001</v>
      </c>
      <c r="R41" s="10">
        <v>2783.0230000000001</v>
      </c>
      <c r="S41" s="10">
        <v>5933.2250000000004</v>
      </c>
      <c r="T41" s="10">
        <v>13277.779</v>
      </c>
      <c r="U41" s="11">
        <v>2568.6819999999998</v>
      </c>
      <c r="V41" s="11">
        <v>6595.0029999999997</v>
      </c>
      <c r="W41" s="11">
        <v>3300.5070000000001</v>
      </c>
      <c r="X41" s="11">
        <v>813.58799999999997</v>
      </c>
      <c r="Y41" s="10">
        <v>17254.235000000001</v>
      </c>
      <c r="Z41" s="11">
        <v>12916.96</v>
      </c>
      <c r="AA41" s="11">
        <v>4337.2749999999996</v>
      </c>
      <c r="AB41" s="10">
        <v>217692.11499999999</v>
      </c>
      <c r="AC41" s="10">
        <v>469585.45500000002</v>
      </c>
      <c r="AD41" s="10">
        <v>687277.57</v>
      </c>
      <c r="AE41" s="11">
        <v>817156.8</v>
      </c>
      <c r="AF41" s="18">
        <v>31.675000000000001</v>
      </c>
      <c r="AG41" s="18">
        <v>26.64</v>
      </c>
      <c r="AH41" s="18">
        <v>20.321000000000002</v>
      </c>
      <c r="AI41" s="18">
        <v>3.7360000000000002</v>
      </c>
      <c r="AJ41" s="18">
        <v>1.857</v>
      </c>
      <c r="AK41" s="18">
        <v>0.72599999999999998</v>
      </c>
    </row>
    <row r="42" spans="1:37" x14ac:dyDescent="0.2">
      <c r="A42" s="9">
        <v>1998</v>
      </c>
      <c r="B42" s="10">
        <v>172478.99299999999</v>
      </c>
      <c r="C42" s="11">
        <v>30612.143</v>
      </c>
      <c r="D42" s="11">
        <v>94138.900999999998</v>
      </c>
      <c r="E42" s="11">
        <v>10821.014999999999</v>
      </c>
      <c r="F42" s="11">
        <v>9387.7000000000007</v>
      </c>
      <c r="G42" s="11">
        <v>2915.491</v>
      </c>
      <c r="H42" s="11">
        <v>1609.9939999999999</v>
      </c>
      <c r="I42" s="11">
        <v>2868.46</v>
      </c>
      <c r="J42" s="11">
        <v>1993.7550000000001</v>
      </c>
      <c r="K42" s="11">
        <v>27519.236000000001</v>
      </c>
      <c r="L42" s="11">
        <v>15229.429</v>
      </c>
      <c r="M42" s="11">
        <v>7182.6580000000004</v>
      </c>
      <c r="N42" s="11">
        <v>3211.7950000000001</v>
      </c>
      <c r="O42" s="11">
        <v>829.28399999999999</v>
      </c>
      <c r="P42" s="11">
        <v>1066.07</v>
      </c>
      <c r="Q42" s="10">
        <v>13234.963</v>
      </c>
      <c r="R42" s="10">
        <v>3083.386</v>
      </c>
      <c r="S42" s="10">
        <v>6136.5219999999999</v>
      </c>
      <c r="T42" s="10">
        <v>14070.751</v>
      </c>
      <c r="U42" s="11">
        <v>2687.5210000000002</v>
      </c>
      <c r="V42" s="11">
        <v>7132.06</v>
      </c>
      <c r="W42" s="11">
        <v>3467.3229999999999</v>
      </c>
      <c r="X42" s="11">
        <v>783.846</v>
      </c>
      <c r="Y42" s="10">
        <v>15951.01</v>
      </c>
      <c r="Z42" s="11">
        <v>11262.82</v>
      </c>
      <c r="AA42" s="11">
        <v>4688.1899999999996</v>
      </c>
      <c r="AB42" s="10">
        <v>224955.625</v>
      </c>
      <c r="AC42" s="10">
        <v>491216.54300000001</v>
      </c>
      <c r="AD42" s="10">
        <v>716172.16700000002</v>
      </c>
      <c r="AE42" s="11">
        <v>845668.7</v>
      </c>
      <c r="AF42" s="18">
        <v>31.411000000000001</v>
      </c>
      <c r="AG42" s="18">
        <v>26.600999999999999</v>
      </c>
      <c r="AH42" s="18">
        <v>20.396000000000001</v>
      </c>
      <c r="AI42" s="18">
        <v>3.55</v>
      </c>
      <c r="AJ42" s="18">
        <v>1.93</v>
      </c>
      <c r="AK42" s="18">
        <v>0.72599999999999998</v>
      </c>
    </row>
    <row r="43" spans="1:37" x14ac:dyDescent="0.2">
      <c r="A43" s="9">
        <v>1999</v>
      </c>
      <c r="B43" s="10">
        <v>176933.68599999999</v>
      </c>
      <c r="C43" s="11">
        <v>31344.04</v>
      </c>
      <c r="D43" s="11">
        <v>97901.71</v>
      </c>
      <c r="E43" s="11">
        <v>10975.361999999999</v>
      </c>
      <c r="F43" s="11">
        <v>9796.9480000000003</v>
      </c>
      <c r="G43" s="11">
        <v>3002</v>
      </c>
      <c r="H43" s="11">
        <v>1789</v>
      </c>
      <c r="I43" s="11">
        <v>3008</v>
      </c>
      <c r="J43" s="11">
        <v>1997.9480000000001</v>
      </c>
      <c r="K43" s="11">
        <v>26915.724999999999</v>
      </c>
      <c r="L43" s="11">
        <v>14840</v>
      </c>
      <c r="M43" s="11">
        <v>6790.049</v>
      </c>
      <c r="N43" s="11">
        <v>3369.567</v>
      </c>
      <c r="O43" s="11">
        <v>829.11</v>
      </c>
      <c r="P43" s="11">
        <v>1087</v>
      </c>
      <c r="Q43" s="10">
        <v>14919.526</v>
      </c>
      <c r="R43" s="10">
        <v>3419.73</v>
      </c>
      <c r="S43" s="10">
        <v>6484.6679999999997</v>
      </c>
      <c r="T43" s="10">
        <v>15148</v>
      </c>
      <c r="U43" s="11">
        <v>2921.4850000000001</v>
      </c>
      <c r="V43" s="11">
        <v>7517.8119999999999</v>
      </c>
      <c r="W43" s="11">
        <v>3782.9969999999998</v>
      </c>
      <c r="X43" s="11">
        <v>925.596</v>
      </c>
      <c r="Y43" s="10">
        <v>10637</v>
      </c>
      <c r="Z43" s="11">
        <v>5428</v>
      </c>
      <c r="AA43" s="11">
        <v>5209</v>
      </c>
      <c r="AB43" s="10">
        <v>227542.609</v>
      </c>
      <c r="AC43" s="10">
        <v>509923.728</v>
      </c>
      <c r="AD43" s="10">
        <v>737466.33799999999</v>
      </c>
      <c r="AE43" s="11">
        <v>867141.7</v>
      </c>
      <c r="AF43" s="18">
        <v>30.855</v>
      </c>
      <c r="AG43" s="18">
        <v>26.241</v>
      </c>
      <c r="AH43" s="18">
        <v>20.404</v>
      </c>
      <c r="AI43" s="18">
        <v>2.9740000000000002</v>
      </c>
      <c r="AJ43" s="18">
        <v>2.1150000000000002</v>
      </c>
      <c r="AK43" s="18">
        <v>0.748</v>
      </c>
    </row>
    <row r="44" spans="1:37" x14ac:dyDescent="0.2">
      <c r="A44" s="9">
        <v>2000</v>
      </c>
      <c r="B44" s="10">
        <v>183116.33499999999</v>
      </c>
      <c r="C44" s="11">
        <v>31940.81</v>
      </c>
      <c r="D44" s="11">
        <v>101745.78</v>
      </c>
      <c r="E44" s="11">
        <v>11157.218999999999</v>
      </c>
      <c r="F44" s="11">
        <v>10055.412</v>
      </c>
      <c r="G44" s="11">
        <v>3038</v>
      </c>
      <c r="H44" s="11">
        <v>1842</v>
      </c>
      <c r="I44" s="11">
        <v>3083</v>
      </c>
      <c r="J44" s="11">
        <v>2092.4119999999998</v>
      </c>
      <c r="K44" s="11">
        <v>28217.041000000001</v>
      </c>
      <c r="L44" s="11">
        <v>14735</v>
      </c>
      <c r="M44" s="11">
        <v>7078.5709999999999</v>
      </c>
      <c r="N44" s="11">
        <v>4413.3909999999996</v>
      </c>
      <c r="O44" s="11">
        <v>881.08</v>
      </c>
      <c r="P44" s="11">
        <v>1109</v>
      </c>
      <c r="Q44" s="10">
        <v>17432.241000000002</v>
      </c>
      <c r="R44" s="10">
        <v>3698.77</v>
      </c>
      <c r="S44" s="10">
        <v>6662.0020000000004</v>
      </c>
      <c r="T44" s="10">
        <v>15828</v>
      </c>
      <c r="U44" s="11">
        <v>2957.4879999999998</v>
      </c>
      <c r="V44" s="11">
        <v>8002.5330000000004</v>
      </c>
      <c r="W44" s="11">
        <v>3887.9279999999999</v>
      </c>
      <c r="X44" s="11">
        <v>979.928</v>
      </c>
      <c r="Y44" s="10">
        <v>17432</v>
      </c>
      <c r="Z44" s="11">
        <v>11810</v>
      </c>
      <c r="AA44" s="11">
        <v>5622</v>
      </c>
      <c r="AB44" s="10">
        <v>244169.348</v>
      </c>
      <c r="AC44" s="10">
        <v>537534.65300000005</v>
      </c>
      <c r="AD44" s="10">
        <v>781704.00100000005</v>
      </c>
      <c r="AE44" s="11">
        <v>916987.4</v>
      </c>
      <c r="AF44" s="18">
        <v>31.236000000000001</v>
      </c>
      <c r="AG44" s="18">
        <v>26.626999999999999</v>
      </c>
      <c r="AH44" s="18">
        <v>19.969000000000001</v>
      </c>
      <c r="AI44" s="18">
        <v>3.6269999999999998</v>
      </c>
      <c r="AJ44" s="18">
        <v>2.3039999999999998</v>
      </c>
      <c r="AK44" s="18">
        <v>0.72699999999999998</v>
      </c>
    </row>
    <row r="45" spans="1:37" x14ac:dyDescent="0.2">
      <c r="A45" s="9">
        <v>2001</v>
      </c>
      <c r="B45" s="10">
        <v>190873.75200000001</v>
      </c>
      <c r="C45" s="11">
        <v>32187.164000000001</v>
      </c>
      <c r="D45" s="11">
        <v>106146.242</v>
      </c>
      <c r="E45" s="11">
        <v>11578.36</v>
      </c>
      <c r="F45" s="11">
        <v>10387.958000000001</v>
      </c>
      <c r="G45" s="11">
        <v>3113</v>
      </c>
      <c r="H45" s="11">
        <v>1949</v>
      </c>
      <c r="I45" s="11">
        <v>3137</v>
      </c>
      <c r="J45" s="11">
        <v>2188.9580000000001</v>
      </c>
      <c r="K45" s="11">
        <v>30573.542000000001</v>
      </c>
      <c r="L45" s="11">
        <v>15246</v>
      </c>
      <c r="M45" s="11">
        <v>8758.8320000000003</v>
      </c>
      <c r="N45" s="11">
        <v>4517.62</v>
      </c>
      <c r="O45" s="11">
        <v>924.09</v>
      </c>
      <c r="P45" s="11">
        <v>1127</v>
      </c>
      <c r="Q45" s="10">
        <v>19908.933000000001</v>
      </c>
      <c r="R45" s="10">
        <v>4131.0200000000004</v>
      </c>
      <c r="S45" s="10">
        <v>7015.7060000000001</v>
      </c>
      <c r="T45" s="10">
        <v>15994</v>
      </c>
      <c r="U45" s="11">
        <v>2850.683</v>
      </c>
      <c r="V45" s="11">
        <v>8176.4040000000005</v>
      </c>
      <c r="W45" s="11">
        <v>3981.07</v>
      </c>
      <c r="X45" s="11">
        <v>985.63199999999995</v>
      </c>
      <c r="Y45" s="10">
        <v>21088</v>
      </c>
      <c r="Z45" s="11">
        <v>15608</v>
      </c>
      <c r="AA45" s="11">
        <v>5480</v>
      </c>
      <c r="AB45" s="10">
        <v>259011.41099999999</v>
      </c>
      <c r="AC45" s="10">
        <v>557537.02500000002</v>
      </c>
      <c r="AD45" s="10">
        <v>816548.43599999999</v>
      </c>
      <c r="AE45" s="11">
        <v>964453.5</v>
      </c>
      <c r="AF45" s="18">
        <v>31.72</v>
      </c>
      <c r="AG45" s="18">
        <v>26.856000000000002</v>
      </c>
      <c r="AH45" s="18">
        <v>19.791</v>
      </c>
      <c r="AI45" s="18">
        <v>3.8450000000000002</v>
      </c>
      <c r="AJ45" s="18">
        <v>2.4929999999999999</v>
      </c>
      <c r="AK45" s="18">
        <v>0.72699999999999998</v>
      </c>
    </row>
    <row r="46" spans="1:37" x14ac:dyDescent="0.2">
      <c r="A46" s="9">
        <v>2002</v>
      </c>
      <c r="B46" s="10">
        <v>197437.74299999999</v>
      </c>
      <c r="C46" s="11">
        <v>33443.211000000003</v>
      </c>
      <c r="D46" s="11">
        <v>111462.177</v>
      </c>
      <c r="E46" s="11">
        <v>12170.308000000001</v>
      </c>
      <c r="F46" s="11">
        <v>10908.359</v>
      </c>
      <c r="G46" s="11">
        <v>3209</v>
      </c>
      <c r="H46" s="11">
        <v>2134</v>
      </c>
      <c r="I46" s="11">
        <v>3343</v>
      </c>
      <c r="J46" s="11">
        <v>2222.3589999999999</v>
      </c>
      <c r="K46" s="11">
        <v>29453.562999999998</v>
      </c>
      <c r="L46" s="11">
        <v>15269</v>
      </c>
      <c r="M46" s="11">
        <v>8093.1840000000002</v>
      </c>
      <c r="N46" s="11">
        <v>4079.2190000000001</v>
      </c>
      <c r="O46" s="11">
        <v>810.16</v>
      </c>
      <c r="P46" s="11">
        <v>1202</v>
      </c>
      <c r="Q46" s="10">
        <v>22635.781999999999</v>
      </c>
      <c r="R46" s="10">
        <v>4280.76</v>
      </c>
      <c r="S46" s="10">
        <v>7531.8890000000001</v>
      </c>
      <c r="T46" s="10">
        <v>16123</v>
      </c>
      <c r="U46" s="11">
        <v>2892.277</v>
      </c>
      <c r="V46" s="11">
        <v>8541.6849999999995</v>
      </c>
      <c r="W46" s="11">
        <v>3852.1260000000002</v>
      </c>
      <c r="X46" s="11">
        <v>836.96600000000001</v>
      </c>
      <c r="Y46" s="10">
        <v>17301</v>
      </c>
      <c r="Z46" s="11">
        <v>11454</v>
      </c>
      <c r="AA46" s="11">
        <v>5847</v>
      </c>
      <c r="AB46" s="10">
        <v>265310.174</v>
      </c>
      <c r="AC46" s="10">
        <v>574941.95900000003</v>
      </c>
      <c r="AD46" s="10">
        <v>840252.13300000003</v>
      </c>
      <c r="AE46" s="11">
        <v>1003377.3</v>
      </c>
      <c r="AF46" s="18">
        <v>31.574999999999999</v>
      </c>
      <c r="AG46" s="18">
        <v>26.442</v>
      </c>
      <c r="AH46" s="18">
        <v>19.677</v>
      </c>
      <c r="AI46" s="18">
        <v>3.331</v>
      </c>
      <c r="AJ46" s="18">
        <v>2.6829999999999998</v>
      </c>
      <c r="AK46" s="18">
        <v>0.751</v>
      </c>
    </row>
    <row r="47" spans="1:37" x14ac:dyDescent="0.2">
      <c r="A47" s="9">
        <v>2003</v>
      </c>
      <c r="B47" s="10">
        <v>207382.66500000001</v>
      </c>
      <c r="C47" s="11">
        <v>35136.364000000001</v>
      </c>
      <c r="D47" s="11">
        <v>116515.936</v>
      </c>
      <c r="E47" s="11">
        <v>12301.084000000001</v>
      </c>
      <c r="F47" s="11">
        <v>11484.746999999999</v>
      </c>
      <c r="G47" s="11">
        <v>3434</v>
      </c>
      <c r="H47" s="11">
        <v>2331</v>
      </c>
      <c r="I47" s="11">
        <v>3429</v>
      </c>
      <c r="J47" s="11">
        <v>2290.7469999999998</v>
      </c>
      <c r="K47" s="11">
        <v>31944.562000000002</v>
      </c>
      <c r="L47" s="11">
        <v>16348</v>
      </c>
      <c r="M47" s="11">
        <v>9130.8940000000002</v>
      </c>
      <c r="N47" s="11">
        <v>4500.6679999999997</v>
      </c>
      <c r="O47" s="11">
        <v>750</v>
      </c>
      <c r="P47" s="11">
        <v>1215</v>
      </c>
      <c r="Q47" s="10">
        <v>24152.815999999999</v>
      </c>
      <c r="R47" s="10">
        <v>4582.01</v>
      </c>
      <c r="S47" s="10">
        <v>7675.4610000000002</v>
      </c>
      <c r="T47" s="10">
        <v>17588</v>
      </c>
      <c r="U47" s="11">
        <v>3121.2339999999999</v>
      </c>
      <c r="V47" s="11">
        <v>9369.5</v>
      </c>
      <c r="W47" s="11">
        <v>4172.54</v>
      </c>
      <c r="X47" s="11">
        <v>924.95</v>
      </c>
      <c r="Y47" s="10">
        <v>15781</v>
      </c>
      <c r="Z47" s="11">
        <v>10061</v>
      </c>
      <c r="AA47" s="11">
        <v>5720</v>
      </c>
      <c r="AB47" s="10">
        <v>277161.95199999999</v>
      </c>
      <c r="AC47" s="10">
        <v>591359.34100000001</v>
      </c>
      <c r="AD47" s="10">
        <v>868521.29200000002</v>
      </c>
      <c r="AE47" s="11">
        <v>1029031.5</v>
      </c>
      <c r="AF47" s="18">
        <v>31.911999999999999</v>
      </c>
      <c r="AG47" s="18">
        <v>26.934000000000001</v>
      </c>
      <c r="AH47" s="18">
        <v>20.152999999999999</v>
      </c>
      <c r="AI47" s="18">
        <v>3.2429999999999999</v>
      </c>
      <c r="AJ47" s="18">
        <v>2.7919999999999998</v>
      </c>
      <c r="AK47" s="18">
        <v>0.746</v>
      </c>
    </row>
    <row r="48" spans="1:37" x14ac:dyDescent="0.2">
      <c r="A48" s="9">
        <v>2004</v>
      </c>
      <c r="B48" s="10">
        <v>217647.58199999999</v>
      </c>
      <c r="C48" s="11">
        <v>36708.074000000001</v>
      </c>
      <c r="D48" s="11">
        <v>122339.68799999999</v>
      </c>
      <c r="E48" s="11">
        <v>12884.673000000001</v>
      </c>
      <c r="F48" s="11">
        <v>12041.24</v>
      </c>
      <c r="G48" s="11">
        <v>3498</v>
      </c>
      <c r="H48" s="11">
        <v>2529</v>
      </c>
      <c r="I48" s="11">
        <v>3518</v>
      </c>
      <c r="J48" s="11">
        <v>2496.2399999999998</v>
      </c>
      <c r="K48" s="11">
        <v>33673.930999999997</v>
      </c>
      <c r="L48" s="11">
        <v>17337</v>
      </c>
      <c r="M48" s="11">
        <v>9223.9539999999997</v>
      </c>
      <c r="N48" s="11">
        <v>5129.9780000000001</v>
      </c>
      <c r="O48" s="11">
        <v>713</v>
      </c>
      <c r="P48" s="11">
        <v>1270</v>
      </c>
      <c r="Q48" s="10">
        <v>25385.018</v>
      </c>
      <c r="R48" s="10">
        <v>4713.0200000000004</v>
      </c>
      <c r="S48" s="10">
        <v>7970.4979999999996</v>
      </c>
      <c r="T48" s="10">
        <v>19205</v>
      </c>
      <c r="U48" s="11">
        <v>3309.9169999999999</v>
      </c>
      <c r="V48" s="11">
        <v>10419.531000000001</v>
      </c>
      <c r="W48" s="11">
        <v>4400.5029999999997</v>
      </c>
      <c r="X48" s="11">
        <v>1074.8520000000001</v>
      </c>
      <c r="Y48" s="10">
        <v>16454</v>
      </c>
      <c r="Z48" s="11">
        <v>10500</v>
      </c>
      <c r="AA48" s="11">
        <v>5954</v>
      </c>
      <c r="AB48" s="10">
        <v>291375.11800000002</v>
      </c>
      <c r="AC48" s="10">
        <v>614161.91700000002</v>
      </c>
      <c r="AD48" s="10">
        <v>905537.03500000003</v>
      </c>
      <c r="AE48" s="11">
        <v>1074974.8</v>
      </c>
      <c r="AF48" s="18">
        <v>32.177</v>
      </c>
      <c r="AG48" s="18">
        <v>27.105</v>
      </c>
      <c r="AH48" s="18">
        <v>20.247</v>
      </c>
      <c r="AI48" s="18">
        <v>3.3170000000000002</v>
      </c>
      <c r="AJ48" s="18">
        <v>2.8</v>
      </c>
      <c r="AK48" s="18">
        <v>0.74099999999999999</v>
      </c>
    </row>
    <row r="49" spans="1:37" x14ac:dyDescent="0.2">
      <c r="A49" s="9">
        <v>2005</v>
      </c>
      <c r="B49" s="10">
        <v>230321.88099999999</v>
      </c>
      <c r="C49" s="11">
        <v>38983.767999999996</v>
      </c>
      <c r="D49" s="11">
        <v>129409.96400000001</v>
      </c>
      <c r="E49" s="11">
        <v>13390.017</v>
      </c>
      <c r="F49" s="11">
        <v>12702.134</v>
      </c>
      <c r="G49" s="11">
        <v>3599</v>
      </c>
      <c r="H49" s="11">
        <v>2732</v>
      </c>
      <c r="I49" s="11">
        <v>3696</v>
      </c>
      <c r="J49" s="11">
        <v>2675.134</v>
      </c>
      <c r="K49" s="11">
        <v>35835.688000000002</v>
      </c>
      <c r="L49" s="11">
        <v>17561</v>
      </c>
      <c r="M49" s="11">
        <v>9670.9169999999995</v>
      </c>
      <c r="N49" s="11">
        <v>6522.7709999999997</v>
      </c>
      <c r="O49" s="11">
        <v>733</v>
      </c>
      <c r="P49" s="11">
        <v>1348</v>
      </c>
      <c r="Q49" s="10">
        <v>26952.141</v>
      </c>
      <c r="R49" s="10">
        <v>5102.51</v>
      </c>
      <c r="S49" s="10">
        <v>8266.2790000000005</v>
      </c>
      <c r="T49" s="10">
        <v>20821</v>
      </c>
      <c r="U49" s="11">
        <v>3413.72</v>
      </c>
      <c r="V49" s="11">
        <v>11197.246999999999</v>
      </c>
      <c r="W49" s="11">
        <v>5034.9669999999996</v>
      </c>
      <c r="X49" s="11">
        <v>1174.9580000000001</v>
      </c>
      <c r="Y49" s="10">
        <v>15687</v>
      </c>
      <c r="Z49" s="11">
        <v>9528</v>
      </c>
      <c r="AA49" s="11">
        <v>6159</v>
      </c>
      <c r="AB49" s="10">
        <v>307150.81099999999</v>
      </c>
      <c r="AC49" s="10">
        <v>638661.59100000001</v>
      </c>
      <c r="AD49" s="10">
        <v>945812.402</v>
      </c>
      <c r="AE49" s="11">
        <v>1105656.1000000001</v>
      </c>
      <c r="AF49" s="18">
        <v>32.475000000000001</v>
      </c>
      <c r="AG49" s="18">
        <v>27.78</v>
      </c>
      <c r="AH49" s="18">
        <v>20.831</v>
      </c>
      <c r="AI49" s="18">
        <v>3.302</v>
      </c>
      <c r="AJ49" s="18">
        <v>2.899</v>
      </c>
      <c r="AK49" s="18">
        <v>0.748</v>
      </c>
    </row>
    <row r="50" spans="1:37" x14ac:dyDescent="0.2">
      <c r="A50" s="9">
        <v>2006</v>
      </c>
      <c r="B50" s="10">
        <v>242937.038</v>
      </c>
      <c r="C50" s="11">
        <v>40946.582999999999</v>
      </c>
      <c r="D50" s="11">
        <v>136047.992</v>
      </c>
      <c r="E50" s="11">
        <v>14435.421</v>
      </c>
      <c r="F50" s="11">
        <v>13512.016</v>
      </c>
      <c r="G50" s="11">
        <v>3864</v>
      </c>
      <c r="H50" s="11">
        <v>2899</v>
      </c>
      <c r="I50" s="11">
        <v>3867</v>
      </c>
      <c r="J50" s="11">
        <v>2882.0160000000001</v>
      </c>
      <c r="K50" s="11">
        <v>37995.002999999997</v>
      </c>
      <c r="L50" s="11">
        <v>17866</v>
      </c>
      <c r="M50" s="11">
        <v>10910.197</v>
      </c>
      <c r="N50" s="11">
        <v>6900.8059999999996</v>
      </c>
      <c r="O50" s="11">
        <v>820</v>
      </c>
      <c r="P50" s="11">
        <v>1498</v>
      </c>
      <c r="Q50" s="10">
        <v>27061.51</v>
      </c>
      <c r="R50" s="10">
        <v>5312.08</v>
      </c>
      <c r="S50" s="10">
        <v>8594.1029999999992</v>
      </c>
      <c r="T50" s="10">
        <v>22531</v>
      </c>
      <c r="U50" s="11">
        <v>3733.5680000000002</v>
      </c>
      <c r="V50" s="11">
        <v>12091.603999999999</v>
      </c>
      <c r="W50" s="11">
        <v>5297.652</v>
      </c>
      <c r="X50" s="11">
        <v>1408.1579999999999</v>
      </c>
      <c r="Y50" s="10">
        <v>18318</v>
      </c>
      <c r="Z50" s="11">
        <v>12034</v>
      </c>
      <c r="AA50" s="11">
        <v>6284</v>
      </c>
      <c r="AB50" s="10">
        <v>324753.73100000003</v>
      </c>
      <c r="AC50" s="10">
        <v>662410.39099999995</v>
      </c>
      <c r="AD50" s="10">
        <v>987164.12199999997</v>
      </c>
      <c r="AE50" s="11">
        <v>1155893.5</v>
      </c>
      <c r="AF50" s="18">
        <v>32.898000000000003</v>
      </c>
      <c r="AG50" s="18">
        <v>28.094999999999999</v>
      </c>
      <c r="AH50" s="18">
        <v>21.016999999999999</v>
      </c>
      <c r="AI50" s="18">
        <v>3.5339999999999998</v>
      </c>
      <c r="AJ50" s="18">
        <v>2.8010000000000002</v>
      </c>
      <c r="AK50" s="18">
        <v>0.74399999999999999</v>
      </c>
    </row>
    <row r="51" spans="1:37" x14ac:dyDescent="0.2">
      <c r="A51" s="9">
        <v>2007</v>
      </c>
      <c r="B51" s="10">
        <v>252162.35</v>
      </c>
      <c r="C51" s="11">
        <v>42869.800999999999</v>
      </c>
      <c r="D51" s="11">
        <v>141996.109</v>
      </c>
      <c r="E51" s="11">
        <v>15614.337</v>
      </c>
      <c r="F51" s="11">
        <v>14239.509</v>
      </c>
      <c r="G51" s="11">
        <v>4076</v>
      </c>
      <c r="H51" s="11">
        <v>3042</v>
      </c>
      <c r="I51" s="11">
        <v>4115</v>
      </c>
      <c r="J51" s="11">
        <v>3006.509</v>
      </c>
      <c r="K51" s="11">
        <v>37443.031000000003</v>
      </c>
      <c r="L51" s="11">
        <v>17825</v>
      </c>
      <c r="M51" s="11">
        <v>10728.231</v>
      </c>
      <c r="N51" s="11">
        <v>6477.8</v>
      </c>
      <c r="O51" s="11">
        <v>897</v>
      </c>
      <c r="P51" s="11">
        <v>1515</v>
      </c>
      <c r="Q51" s="10">
        <v>28318.832999999999</v>
      </c>
      <c r="R51" s="10">
        <v>5522.45</v>
      </c>
      <c r="S51" s="10">
        <v>9086.5750000000007</v>
      </c>
      <c r="T51" s="10">
        <v>23684</v>
      </c>
      <c r="U51" s="11">
        <v>3784.0509999999999</v>
      </c>
      <c r="V51" s="11">
        <v>12737.32</v>
      </c>
      <c r="W51" s="11">
        <v>5691.81</v>
      </c>
      <c r="X51" s="11">
        <v>1470.89</v>
      </c>
      <c r="Y51" s="10">
        <v>23810</v>
      </c>
      <c r="Z51" s="11">
        <v>16864</v>
      </c>
      <c r="AA51" s="11">
        <v>6946</v>
      </c>
      <c r="AB51" s="10">
        <v>342584.20799999998</v>
      </c>
      <c r="AC51" s="10">
        <v>690145.73899999994</v>
      </c>
      <c r="AD51" s="10">
        <v>1032729.947</v>
      </c>
      <c r="AE51" s="11">
        <v>1216268.2</v>
      </c>
      <c r="AF51" s="18">
        <v>33.173000000000002</v>
      </c>
      <c r="AG51" s="18">
        <v>28.167000000000002</v>
      </c>
      <c r="AH51" s="18">
        <v>20.731999999999999</v>
      </c>
      <c r="AI51" s="18">
        <v>3.9049999999999998</v>
      </c>
      <c r="AJ51" s="18">
        <v>2.782</v>
      </c>
      <c r="AK51" s="18">
        <v>0.747</v>
      </c>
    </row>
    <row r="52" spans="1:37" x14ac:dyDescent="0.2">
      <c r="A52" s="9">
        <v>2008</v>
      </c>
      <c r="B52" s="10">
        <v>263530.18699999998</v>
      </c>
      <c r="C52" s="11">
        <v>43659.135000000002</v>
      </c>
      <c r="D52" s="11">
        <v>146244.829</v>
      </c>
      <c r="E52" s="11">
        <v>16170.659</v>
      </c>
      <c r="F52" s="11">
        <v>14767.195</v>
      </c>
      <c r="G52" s="11">
        <v>4183</v>
      </c>
      <c r="H52" s="11">
        <v>3190</v>
      </c>
      <c r="I52" s="11">
        <v>4355</v>
      </c>
      <c r="J52" s="11">
        <v>3039.1950000000002</v>
      </c>
      <c r="K52" s="11">
        <v>42687.599000000002</v>
      </c>
      <c r="L52" s="11">
        <v>19065</v>
      </c>
      <c r="M52" s="11">
        <v>11930.422</v>
      </c>
      <c r="N52" s="11">
        <v>8991.9760000000006</v>
      </c>
      <c r="O52" s="11">
        <v>995.2</v>
      </c>
      <c r="P52" s="11">
        <v>1705</v>
      </c>
      <c r="Q52" s="10">
        <v>29781.008999999998</v>
      </c>
      <c r="R52" s="10">
        <v>5719.44</v>
      </c>
      <c r="S52" s="10">
        <v>9546.6540000000005</v>
      </c>
      <c r="T52" s="10">
        <v>24331</v>
      </c>
      <c r="U52" s="11">
        <v>3772.8629999999998</v>
      </c>
      <c r="V52" s="11">
        <v>13128.14</v>
      </c>
      <c r="W52" s="11">
        <v>5955.93</v>
      </c>
      <c r="X52" s="11">
        <v>1474.53</v>
      </c>
      <c r="Y52" s="10">
        <v>26862</v>
      </c>
      <c r="Z52" s="11">
        <v>19917</v>
      </c>
      <c r="AA52" s="11">
        <v>6945</v>
      </c>
      <c r="AB52" s="10">
        <v>359770.29</v>
      </c>
      <c r="AC52" s="10">
        <v>706827.80799999996</v>
      </c>
      <c r="AD52" s="10">
        <v>1066598.0970000001</v>
      </c>
      <c r="AE52" s="11">
        <v>1254095.8999999999</v>
      </c>
      <c r="AF52" s="18">
        <v>33.731000000000002</v>
      </c>
      <c r="AG52" s="18">
        <v>28.687999999999999</v>
      </c>
      <c r="AH52" s="18">
        <v>21.013999999999999</v>
      </c>
      <c r="AI52" s="18">
        <v>4.0819999999999999</v>
      </c>
      <c r="AJ52" s="18">
        <v>2.831</v>
      </c>
      <c r="AK52" s="18">
        <v>0.76100000000000001</v>
      </c>
    </row>
    <row r="53" spans="1:37" x14ac:dyDescent="0.2">
      <c r="A53" s="9">
        <v>2009</v>
      </c>
      <c r="B53" s="10">
        <v>266852.83</v>
      </c>
      <c r="C53" s="11">
        <v>45174.709000000003</v>
      </c>
      <c r="D53" s="11">
        <v>150170</v>
      </c>
      <c r="E53" s="11">
        <v>15778.960999999999</v>
      </c>
      <c r="F53" s="11">
        <v>15355.013999999999</v>
      </c>
      <c r="G53" s="11">
        <v>4361</v>
      </c>
      <c r="H53" s="11">
        <v>3410</v>
      </c>
      <c r="I53" s="11">
        <v>4499</v>
      </c>
      <c r="J53" s="11">
        <v>3085.0140000000001</v>
      </c>
      <c r="K53" s="11">
        <v>40374.559000000001</v>
      </c>
      <c r="L53" s="11">
        <v>19836</v>
      </c>
      <c r="M53" s="11">
        <v>11768.075999999999</v>
      </c>
      <c r="N53" s="11">
        <v>5965.1930000000002</v>
      </c>
      <c r="O53" s="11">
        <v>1081.29</v>
      </c>
      <c r="P53" s="11">
        <v>1724</v>
      </c>
      <c r="Q53" s="10">
        <v>30214.663</v>
      </c>
      <c r="R53" s="10">
        <v>5603.04</v>
      </c>
      <c r="S53" s="10">
        <v>9750.9609999999993</v>
      </c>
      <c r="T53" s="10">
        <v>26080</v>
      </c>
      <c r="U53" s="11">
        <v>3928</v>
      </c>
      <c r="V53" s="11">
        <v>14609</v>
      </c>
      <c r="W53" s="11">
        <v>6027</v>
      </c>
      <c r="X53" s="11">
        <v>1516</v>
      </c>
      <c r="Y53" s="10">
        <v>19314</v>
      </c>
      <c r="Z53" s="11">
        <v>12549</v>
      </c>
      <c r="AA53" s="11">
        <v>6765</v>
      </c>
      <c r="AB53" s="10">
        <v>357815.49400000001</v>
      </c>
      <c r="AC53" s="10">
        <v>693647.70799999998</v>
      </c>
      <c r="AD53" s="10">
        <v>1051463.202</v>
      </c>
      <c r="AE53" s="11">
        <v>1255298.209</v>
      </c>
      <c r="AF53" s="18">
        <v>34.03</v>
      </c>
      <c r="AG53" s="18">
        <v>28.504000000000001</v>
      </c>
      <c r="AH53" s="18">
        <v>21.257999999999999</v>
      </c>
      <c r="AI53" s="18">
        <v>3.6160000000000001</v>
      </c>
      <c r="AJ53" s="18">
        <v>2.8530000000000002</v>
      </c>
      <c r="AK53" s="18">
        <v>0.77700000000000002</v>
      </c>
    </row>
    <row r="54" spans="1:37" x14ac:dyDescent="0.2">
      <c r="A54" s="9">
        <v>2010</v>
      </c>
      <c r="B54" s="10">
        <v>276781.962</v>
      </c>
      <c r="C54" s="11">
        <v>46565.211000000003</v>
      </c>
      <c r="D54" s="11">
        <v>153572.96900000001</v>
      </c>
      <c r="E54" s="11">
        <v>16381.843000000001</v>
      </c>
      <c r="F54" s="11">
        <v>15480.281000000001</v>
      </c>
      <c r="G54" s="11">
        <v>4444</v>
      </c>
      <c r="H54" s="11">
        <v>3393</v>
      </c>
      <c r="I54" s="11">
        <v>4578</v>
      </c>
      <c r="J54" s="11">
        <v>3065.2809999999999</v>
      </c>
      <c r="K54" s="11">
        <v>44781.777999999998</v>
      </c>
      <c r="L54" s="11">
        <v>21874</v>
      </c>
      <c r="M54" s="11">
        <v>13075.402</v>
      </c>
      <c r="N54" s="11">
        <v>6855.5460000000003</v>
      </c>
      <c r="O54" s="11">
        <v>1263.83</v>
      </c>
      <c r="P54" s="11">
        <v>1713</v>
      </c>
      <c r="Q54" s="10">
        <v>30483.713</v>
      </c>
      <c r="R54" s="10">
        <v>5686.0479999999998</v>
      </c>
      <c r="S54" s="10">
        <v>10094.911</v>
      </c>
      <c r="T54" s="10">
        <v>27111</v>
      </c>
      <c r="U54" s="11">
        <v>3990</v>
      </c>
      <c r="V54" s="11">
        <v>15361</v>
      </c>
      <c r="W54" s="11">
        <v>6139</v>
      </c>
      <c r="X54" s="11">
        <v>1621</v>
      </c>
      <c r="Y54" s="10">
        <v>15415</v>
      </c>
      <c r="Z54" s="11">
        <v>8865</v>
      </c>
      <c r="AA54" s="11">
        <v>6550</v>
      </c>
      <c r="AB54" s="10">
        <v>365572.63299999997</v>
      </c>
      <c r="AC54" s="10">
        <v>716821.06700000004</v>
      </c>
      <c r="AD54" s="10">
        <v>1082393.7</v>
      </c>
      <c r="AE54" s="11">
        <v>1285390.2620000001</v>
      </c>
      <c r="AF54" s="18">
        <v>33.774000000000001</v>
      </c>
      <c r="AG54" s="18">
        <v>28.440999999999999</v>
      </c>
      <c r="AH54" s="18">
        <v>21.533000000000001</v>
      </c>
      <c r="AI54" s="18">
        <v>3.3079999999999998</v>
      </c>
      <c r="AJ54" s="18">
        <v>2.8140000000000001</v>
      </c>
      <c r="AK54" s="18">
        <v>0.78500000000000003</v>
      </c>
    </row>
    <row r="55" spans="1:37" x14ac:dyDescent="0.2">
      <c r="A55" s="9">
        <v>2011</v>
      </c>
      <c r="B55" s="10">
        <v>281230.17</v>
      </c>
      <c r="C55" s="11">
        <v>47691.442999999999</v>
      </c>
      <c r="D55" s="11">
        <v>156576.85999999999</v>
      </c>
      <c r="E55" s="11">
        <v>16946.887999999999</v>
      </c>
      <c r="F55" s="11">
        <v>15852.834999999999</v>
      </c>
      <c r="G55" s="11">
        <v>4327</v>
      </c>
      <c r="H55" s="11">
        <v>3698</v>
      </c>
      <c r="I55" s="11">
        <v>4758</v>
      </c>
      <c r="J55" s="11">
        <v>3069.835</v>
      </c>
      <c r="K55" s="11">
        <v>44161.39</v>
      </c>
      <c r="L55" s="11">
        <v>20560</v>
      </c>
      <c r="M55" s="11">
        <v>12599.593999999999</v>
      </c>
      <c r="N55" s="11">
        <v>7688.9780000000001</v>
      </c>
      <c r="O55" s="11">
        <v>1492.818</v>
      </c>
      <c r="P55" s="11">
        <v>1820</v>
      </c>
      <c r="Q55" s="10">
        <v>29423.327000000001</v>
      </c>
      <c r="R55" s="10">
        <v>5706.1270000000004</v>
      </c>
      <c r="S55" s="10">
        <v>10463.429</v>
      </c>
      <c r="T55" s="10">
        <v>26773</v>
      </c>
      <c r="U55" s="11">
        <v>4077</v>
      </c>
      <c r="V55" s="11">
        <v>14438</v>
      </c>
      <c r="W55" s="11">
        <v>6604</v>
      </c>
      <c r="X55" s="11">
        <v>1654</v>
      </c>
      <c r="Y55" s="10">
        <v>15876</v>
      </c>
      <c r="Z55" s="11">
        <v>9192</v>
      </c>
      <c r="AA55" s="11">
        <v>6684</v>
      </c>
      <c r="AB55" s="10">
        <v>369472.05300000001</v>
      </c>
      <c r="AC55" s="10">
        <v>737408.94700000004</v>
      </c>
      <c r="AD55" s="10">
        <v>1106881</v>
      </c>
      <c r="AE55" s="11">
        <v>1311387.8959999999</v>
      </c>
      <c r="AF55" s="18">
        <v>33.380000000000003</v>
      </c>
      <c r="AG55" s="18">
        <v>28.173999999999999</v>
      </c>
      <c r="AH55" s="18">
        <v>21.445</v>
      </c>
      <c r="AI55" s="18">
        <v>3.2519999999999998</v>
      </c>
      <c r="AJ55" s="18">
        <v>2.6789999999999998</v>
      </c>
      <c r="AK55" s="18">
        <v>0.79800000000000004</v>
      </c>
    </row>
    <row r="56" spans="1:37" x14ac:dyDescent="0.2">
      <c r="A56" s="9">
        <v>2012</v>
      </c>
      <c r="B56" s="10">
        <v>293624.84299999999</v>
      </c>
      <c r="C56" s="11">
        <v>49362.925999999999</v>
      </c>
      <c r="D56" s="11">
        <v>160738.66200000001</v>
      </c>
      <c r="E56" s="11">
        <v>17438.722000000002</v>
      </c>
      <c r="F56" s="11">
        <v>16146.884</v>
      </c>
      <c r="G56" s="11">
        <v>4344</v>
      </c>
      <c r="H56" s="11">
        <v>3834</v>
      </c>
      <c r="I56" s="11">
        <v>4906</v>
      </c>
      <c r="J56" s="11">
        <v>3062.884</v>
      </c>
      <c r="K56" s="11">
        <v>49937.633999999998</v>
      </c>
      <c r="L56" s="11">
        <v>23022</v>
      </c>
      <c r="M56" s="11">
        <v>14877.883</v>
      </c>
      <c r="N56" s="11">
        <v>8612.1219999999994</v>
      </c>
      <c r="O56" s="11">
        <v>1488.6289999999999</v>
      </c>
      <c r="P56" s="11">
        <v>1937</v>
      </c>
      <c r="Q56" s="10">
        <v>26773.837</v>
      </c>
      <c r="R56" s="10">
        <v>5831.4530000000004</v>
      </c>
      <c r="S56" s="10">
        <v>10891.638999999999</v>
      </c>
      <c r="T56" s="10">
        <v>28129</v>
      </c>
      <c r="U56" s="11">
        <v>4503</v>
      </c>
      <c r="V56" s="11">
        <v>14665</v>
      </c>
      <c r="W56" s="11">
        <v>7231</v>
      </c>
      <c r="X56" s="11">
        <v>1730</v>
      </c>
      <c r="Y56" s="10">
        <v>13866</v>
      </c>
      <c r="Z56" s="11">
        <v>7015</v>
      </c>
      <c r="AA56" s="11">
        <v>6851</v>
      </c>
      <c r="AB56" s="10">
        <v>379116.772</v>
      </c>
      <c r="AC56" s="10">
        <v>740529.228</v>
      </c>
      <c r="AD56" s="10">
        <v>1119646</v>
      </c>
      <c r="AE56" s="11">
        <v>1318313.9369999999</v>
      </c>
      <c r="AF56" s="18">
        <v>33.86</v>
      </c>
      <c r="AG56" s="18">
        <v>28.757999999999999</v>
      </c>
      <c r="AH56" s="18">
        <v>22.273</v>
      </c>
      <c r="AI56" s="18">
        <v>3.1859999999999999</v>
      </c>
      <c r="AJ56" s="18">
        <v>2.4729999999999999</v>
      </c>
      <c r="AK56" s="18">
        <v>0.82599999999999996</v>
      </c>
    </row>
    <row r="57" spans="1:37" x14ac:dyDescent="0.2">
      <c r="A57" s="9">
        <v>2013</v>
      </c>
      <c r="B57" s="10">
        <v>301696.52399999998</v>
      </c>
      <c r="C57" s="11">
        <v>50670.891000000003</v>
      </c>
      <c r="D57" s="11">
        <v>164217.516</v>
      </c>
      <c r="E57" s="11">
        <v>17559.774000000001</v>
      </c>
      <c r="F57" s="11">
        <v>16300.989</v>
      </c>
      <c r="G57" s="11">
        <v>4339</v>
      </c>
      <c r="H57" s="11">
        <v>3934</v>
      </c>
      <c r="I57" s="11">
        <v>4967</v>
      </c>
      <c r="J57" s="11">
        <v>3060.989</v>
      </c>
      <c r="K57" s="11">
        <v>52947.436000000002</v>
      </c>
      <c r="L57" s="11">
        <v>25761</v>
      </c>
      <c r="M57" s="11">
        <v>15546.883</v>
      </c>
      <c r="N57" s="11">
        <v>7968.1729999999998</v>
      </c>
      <c r="O57" s="11">
        <v>1719.38</v>
      </c>
      <c r="P57" s="11">
        <v>1952</v>
      </c>
      <c r="Q57" s="10">
        <v>24887.966</v>
      </c>
      <c r="R57" s="10">
        <v>6011.982</v>
      </c>
      <c r="S57" s="10">
        <v>11403.776</v>
      </c>
      <c r="T57" s="10">
        <v>29870</v>
      </c>
      <c r="U57" s="11">
        <v>4690</v>
      </c>
      <c r="V57" s="11">
        <v>15631</v>
      </c>
      <c r="W57" s="11">
        <v>7625</v>
      </c>
      <c r="X57" s="11">
        <v>1924</v>
      </c>
      <c r="Y57" s="10">
        <v>12999</v>
      </c>
      <c r="Z57" s="11">
        <v>6068</v>
      </c>
      <c r="AA57" s="11">
        <v>6931</v>
      </c>
      <c r="AB57" s="10">
        <v>386869.24800000002</v>
      </c>
      <c r="AC57" s="10">
        <v>745361.75199999998</v>
      </c>
      <c r="AD57" s="10">
        <v>1132231</v>
      </c>
      <c r="AE57" s="11">
        <v>1321925.463</v>
      </c>
      <c r="AF57" s="18">
        <v>34.168999999999997</v>
      </c>
      <c r="AG57" s="18">
        <v>29.265999999999998</v>
      </c>
      <c r="AH57" s="18">
        <v>22.823</v>
      </c>
      <c r="AI57" s="18">
        <v>3.2429999999999999</v>
      </c>
      <c r="AJ57" s="18">
        <v>2.3370000000000002</v>
      </c>
      <c r="AK57" s="18">
        <v>0.86299999999999999</v>
      </c>
    </row>
    <row r="58" spans="1:37" x14ac:dyDescent="0.2">
      <c r="A58" s="9">
        <v>2014</v>
      </c>
      <c r="B58" s="10">
        <v>301953.978</v>
      </c>
      <c r="C58" s="11">
        <v>52008.343999999997</v>
      </c>
      <c r="D58" s="11">
        <v>167452.92199999999</v>
      </c>
      <c r="E58" s="11">
        <v>18129.511999999999</v>
      </c>
      <c r="F58" s="11">
        <v>16618.535</v>
      </c>
      <c r="G58" s="11">
        <v>4427</v>
      </c>
      <c r="H58" s="11">
        <v>3998</v>
      </c>
      <c r="I58" s="11">
        <v>5158</v>
      </c>
      <c r="J58" s="11">
        <v>3035.5349999999999</v>
      </c>
      <c r="K58" s="11">
        <v>47745.364000000001</v>
      </c>
      <c r="L58" s="11">
        <v>24365</v>
      </c>
      <c r="M58" s="11">
        <v>12981.95</v>
      </c>
      <c r="N58" s="11">
        <v>6614.3280000000004</v>
      </c>
      <c r="O58" s="11">
        <v>1889.086</v>
      </c>
      <c r="P58" s="11">
        <v>1895</v>
      </c>
      <c r="Q58" s="10">
        <v>24096.38</v>
      </c>
      <c r="R58" s="10">
        <v>6318.643</v>
      </c>
      <c r="S58" s="10">
        <v>11712.758</v>
      </c>
      <c r="T58" s="10">
        <v>30296</v>
      </c>
      <c r="U58" s="11">
        <v>4958</v>
      </c>
      <c r="V58" s="11">
        <v>15741</v>
      </c>
      <c r="W58" s="11">
        <v>7677</v>
      </c>
      <c r="X58" s="11">
        <v>1920</v>
      </c>
      <c r="Y58" s="10">
        <v>12697</v>
      </c>
      <c r="Z58" s="11">
        <v>5375</v>
      </c>
      <c r="AA58" s="11">
        <v>7322</v>
      </c>
      <c r="AB58" s="10">
        <v>387074.75900000002</v>
      </c>
      <c r="AC58" s="10">
        <v>754421.24100000004</v>
      </c>
      <c r="AD58" s="10">
        <v>1141496</v>
      </c>
      <c r="AE58" s="11">
        <v>1338491.1270000001</v>
      </c>
      <c r="AF58" s="19">
        <v>33.908999999999999</v>
      </c>
      <c r="AG58" s="19">
        <v>28.919</v>
      </c>
      <c r="AH58" s="19">
        <v>22.559000000000001</v>
      </c>
      <c r="AI58" s="19">
        <v>3.2120000000000002</v>
      </c>
      <c r="AJ58" s="19">
        <v>2.2719999999999998</v>
      </c>
      <c r="AK58" s="19">
        <v>0.875</v>
      </c>
    </row>
    <row r="59" spans="1:37" x14ac:dyDescent="0.2">
      <c r="A59" s="9">
        <v>2015</v>
      </c>
      <c r="B59" s="10">
        <v>306806.27799999999</v>
      </c>
      <c r="C59" s="11">
        <v>53073.875</v>
      </c>
      <c r="D59" s="11">
        <v>170101.54199999999</v>
      </c>
      <c r="E59" s="11">
        <v>18222.892</v>
      </c>
      <c r="F59" s="11">
        <v>16825.413</v>
      </c>
      <c r="G59" s="11">
        <v>4453</v>
      </c>
      <c r="H59" s="11">
        <v>4117</v>
      </c>
      <c r="I59" s="11">
        <v>5248</v>
      </c>
      <c r="J59" s="11">
        <v>3007.413</v>
      </c>
      <c r="K59" s="11">
        <v>48582.053999999996</v>
      </c>
      <c r="L59" s="11">
        <v>26411</v>
      </c>
      <c r="M59" s="11">
        <v>12915.374</v>
      </c>
      <c r="N59" s="11">
        <v>5457.8109999999997</v>
      </c>
      <c r="O59" s="11">
        <v>1926.8689999999999</v>
      </c>
      <c r="P59" s="11">
        <v>1871</v>
      </c>
      <c r="Q59" s="10">
        <v>23673.772000000001</v>
      </c>
      <c r="R59" s="10">
        <v>6450.1270000000004</v>
      </c>
      <c r="S59" s="10">
        <v>11688.767</v>
      </c>
      <c r="T59" s="10">
        <v>31024</v>
      </c>
      <c r="U59" s="11">
        <v>5088</v>
      </c>
      <c r="V59" s="11">
        <v>16325</v>
      </c>
      <c r="W59" s="11">
        <v>7712</v>
      </c>
      <c r="X59" s="11">
        <v>1899</v>
      </c>
      <c r="Y59" s="10">
        <v>14249</v>
      </c>
      <c r="Z59" s="11">
        <v>6777</v>
      </c>
      <c r="AA59" s="11">
        <v>7472</v>
      </c>
      <c r="AB59" s="10">
        <v>393891.94500000001</v>
      </c>
      <c r="AC59" s="10">
        <v>766680.05500000005</v>
      </c>
      <c r="AD59" s="10">
        <v>1160572</v>
      </c>
      <c r="AE59" s="11">
        <v>1353320.324</v>
      </c>
      <c r="AF59" s="19">
        <v>33.939</v>
      </c>
      <c r="AG59" s="19">
        <v>29.106000000000002</v>
      </c>
      <c r="AH59" s="19">
        <v>22.670999999999999</v>
      </c>
      <c r="AI59" s="19">
        <v>3.3450000000000002</v>
      </c>
      <c r="AJ59" s="19">
        <v>2.226</v>
      </c>
      <c r="AK59" s="19">
        <v>0.86399999999999999</v>
      </c>
    </row>
    <row r="60" spans="1:37" x14ac:dyDescent="0.2">
      <c r="A60" s="9">
        <v>2016</v>
      </c>
      <c r="B60" s="10">
        <v>311099.054</v>
      </c>
      <c r="C60" s="11">
        <v>53773.317999999999</v>
      </c>
      <c r="D60" s="11">
        <v>172341.75399999999</v>
      </c>
      <c r="E60" s="11">
        <v>18518.475999999999</v>
      </c>
      <c r="F60" s="11">
        <v>17150.934000000001</v>
      </c>
      <c r="G60" s="11">
        <v>4502</v>
      </c>
      <c r="H60" s="11">
        <v>4202</v>
      </c>
      <c r="I60" s="11">
        <v>5495</v>
      </c>
      <c r="J60" s="11">
        <v>2951.9340000000002</v>
      </c>
      <c r="K60" s="11">
        <v>49314.387999999999</v>
      </c>
      <c r="L60" s="11">
        <v>28085</v>
      </c>
      <c r="M60" s="11">
        <v>12562.477000000001</v>
      </c>
      <c r="N60" s="11">
        <v>4711.4949999999999</v>
      </c>
      <c r="O60" s="11">
        <v>2109.4160000000002</v>
      </c>
      <c r="P60" s="11">
        <v>1846</v>
      </c>
      <c r="Q60" s="10">
        <v>23944.412</v>
      </c>
      <c r="R60" s="10">
        <v>6810.2629999999999</v>
      </c>
      <c r="S60" s="10">
        <v>11993.254000000001</v>
      </c>
      <c r="T60" s="10">
        <v>32493</v>
      </c>
      <c r="U60" s="11">
        <v>5759</v>
      </c>
      <c r="V60" s="11">
        <v>17376</v>
      </c>
      <c r="W60" s="11">
        <v>7481</v>
      </c>
      <c r="X60" s="11">
        <v>1877</v>
      </c>
      <c r="Y60" s="10">
        <v>13162</v>
      </c>
      <c r="Z60" s="11">
        <v>5997</v>
      </c>
      <c r="AA60" s="11">
        <v>7165</v>
      </c>
      <c r="AB60" s="10">
        <v>399501.98300000001</v>
      </c>
      <c r="AC60" s="10">
        <v>786590.01699999999</v>
      </c>
      <c r="AD60" s="10">
        <v>1186092</v>
      </c>
      <c r="AE60" s="20">
        <v>1376974.63</v>
      </c>
      <c r="AF60" s="19">
        <v>33.682000000000002</v>
      </c>
      <c r="AG60" s="19">
        <v>29.013000000000002</v>
      </c>
      <c r="AH60" s="19">
        <v>22.593</v>
      </c>
      <c r="AI60" s="19">
        <v>3.3159999999999998</v>
      </c>
      <c r="AJ60" s="19">
        <v>2.2330000000000001</v>
      </c>
      <c r="AK60" s="19">
        <v>0.871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9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.75" x14ac:dyDescent="0.2"/>
  <cols>
    <col min="1" max="1" width="5.625" bestFit="1" customWidth="1"/>
    <col min="2" max="2" width="8.25" bestFit="1" customWidth="1"/>
    <col min="3" max="3" width="10.75" bestFit="1" customWidth="1"/>
    <col min="4" max="5" width="9.875" bestFit="1" customWidth="1"/>
    <col min="6" max="6" width="7.875" bestFit="1" customWidth="1"/>
    <col min="7" max="7" width="9.75" bestFit="1" customWidth="1"/>
    <col min="8" max="8" width="8.75" bestFit="1" customWidth="1"/>
    <col min="9" max="9" width="9.875" bestFit="1" customWidth="1"/>
    <col min="10" max="10" width="9.5" bestFit="1" customWidth="1"/>
    <col min="11" max="11" width="9.875" bestFit="1" customWidth="1"/>
    <col min="12" max="12" width="8.75" bestFit="1" customWidth="1"/>
    <col min="13" max="13" width="7.625" bestFit="1" customWidth="1"/>
    <col min="14" max="14" width="9.125" bestFit="1" customWidth="1"/>
    <col min="15" max="15" width="6.75" bestFit="1" customWidth="1"/>
    <col min="16" max="16" width="6" bestFit="1" customWidth="1"/>
    <col min="17" max="17" width="19.375" customWidth="1"/>
    <col min="18" max="18" width="15" customWidth="1"/>
    <col min="19" max="19" width="20.375" customWidth="1"/>
    <col min="20" max="20" width="13.75" customWidth="1"/>
    <col min="21" max="21" width="12.875" customWidth="1"/>
  </cols>
  <sheetData>
    <row r="1" spans="1:22" ht="38.25" x14ac:dyDescent="0.2">
      <c r="A1" t="s">
        <v>84</v>
      </c>
      <c r="B1" s="2" t="s">
        <v>56</v>
      </c>
      <c r="C1" s="2" t="s">
        <v>57</v>
      </c>
      <c r="D1" s="2" t="s">
        <v>58</v>
      </c>
      <c r="E1" s="2" t="s">
        <v>43</v>
      </c>
      <c r="F1" s="2" t="s">
        <v>44</v>
      </c>
      <c r="G1" s="2" t="s">
        <v>59</v>
      </c>
      <c r="H1" s="2" t="s">
        <v>50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7" t="s">
        <v>55</v>
      </c>
      <c r="R1" s="7" t="s">
        <v>76</v>
      </c>
      <c r="S1" s="7" t="s">
        <v>68</v>
      </c>
      <c r="T1" s="7" t="s">
        <v>77</v>
      </c>
      <c r="U1" s="7" t="s">
        <v>78</v>
      </c>
      <c r="V1" s="7" t="s">
        <v>79</v>
      </c>
    </row>
    <row r="2" spans="1:22" x14ac:dyDescent="0.2">
      <c r="A2" s="9">
        <v>1959</v>
      </c>
      <c r="B2" s="11">
        <f>dep_pre_eng_nomi!K3</f>
        <v>940.37599999999998</v>
      </c>
      <c r="C2" s="12">
        <f>dep_pre_eng_nomi!B3-dep_pre_eng_nomi!K3</f>
        <v>1721.5780000000002</v>
      </c>
      <c r="D2" s="13">
        <f>dep_pre_eng_nomi!Q3</f>
        <v>98.38</v>
      </c>
      <c r="E2" s="13">
        <f>dep_pre_eng_nomi!R3</f>
        <v>34.290999999999997</v>
      </c>
      <c r="F2" s="13">
        <f>dep_pre_eng_nomi!S3</f>
        <v>216.45699999999999</v>
      </c>
      <c r="G2" s="13">
        <f>dep_pre_eng_nomi!T3</f>
        <v>210.55099999999999</v>
      </c>
      <c r="H2" s="13">
        <f>dep_pre_eng_nomi!Y3</f>
        <v>320.40499999999997</v>
      </c>
      <c r="I2" s="13">
        <f>SUM(B2:H2)</f>
        <v>3542.0380000000005</v>
      </c>
      <c r="J2" s="14">
        <f>B2/$I2</f>
        <v>0.26549009355630848</v>
      </c>
      <c r="K2" s="14">
        <f t="shared" ref="K2:P2" si="0">C2/$I2</f>
        <v>0.48604165172705655</v>
      </c>
      <c r="L2" s="14">
        <f t="shared" si="0"/>
        <v>2.777497022900375E-2</v>
      </c>
      <c r="M2" s="14">
        <f t="shared" si="0"/>
        <v>9.6811496658138606E-3</v>
      </c>
      <c r="N2" s="14">
        <f t="shared" si="0"/>
        <v>6.1110863293956749E-2</v>
      </c>
      <c r="O2" s="14">
        <f t="shared" si="0"/>
        <v>5.9443461645527225E-2</v>
      </c>
      <c r="P2" s="14">
        <f t="shared" si="0"/>
        <v>9.0457809882333262E-2</v>
      </c>
      <c r="Q2" s="10">
        <v>24131.774000000001</v>
      </c>
      <c r="R2" s="23">
        <f>I2/Q2</f>
        <v>0.14677901425730244</v>
      </c>
      <c r="S2" s="11">
        <v>28689.9</v>
      </c>
      <c r="T2" s="22">
        <f>I2/S2</f>
        <v>0.12345940557478417</v>
      </c>
      <c r="U2" s="24">
        <f>S2+dep_pre_eng_nomi!D25</f>
        <v>52466.277000000002</v>
      </c>
      <c r="V2" s="22">
        <f>I2/U2</f>
        <v>6.7510755527784072E-2</v>
      </c>
    </row>
    <row r="3" spans="1:22" x14ac:dyDescent="0.2">
      <c r="A3" s="9">
        <v>1960</v>
      </c>
      <c r="B3" s="11">
        <f>dep_pre_eng_nomi!K4</f>
        <v>997.779</v>
      </c>
      <c r="C3" s="12">
        <f>dep_pre_eng_nomi!B4-dep_pre_eng_nomi!K4</f>
        <v>2034.5459999999998</v>
      </c>
      <c r="D3" s="13">
        <f>dep_pre_eng_nomi!Q4</f>
        <v>107.31699999999999</v>
      </c>
      <c r="E3" s="13">
        <f>dep_pre_eng_nomi!R4</f>
        <v>43.887999999999998</v>
      </c>
      <c r="F3" s="13">
        <f>dep_pre_eng_nomi!S4</f>
        <v>230.85400000000001</v>
      </c>
      <c r="G3" s="13">
        <f>dep_pre_eng_nomi!T4</f>
        <v>251.155</v>
      </c>
      <c r="H3" s="13">
        <f>dep_pre_eng_nomi!Y4</f>
        <v>334.54899999999998</v>
      </c>
      <c r="I3" s="13">
        <f t="shared" ref="I3:I59" si="1">SUM(B3:H3)</f>
        <v>4000.0879999999997</v>
      </c>
      <c r="J3" s="14">
        <f t="shared" ref="J3:J59" si="2">B3/$I3</f>
        <v>0.24943926233622862</v>
      </c>
      <c r="K3" s="14">
        <f t="shared" ref="K3:K59" si="3">C3/$I3</f>
        <v>0.50862531024317459</v>
      </c>
      <c r="L3" s="14">
        <f t="shared" ref="L3:L59" si="4">D3/$I3</f>
        <v>2.6828659769485071E-2</v>
      </c>
      <c r="M3" s="14">
        <f t="shared" ref="M3:M59" si="5">E3/$I3</f>
        <v>1.0971758621310331E-2</v>
      </c>
      <c r="N3" s="14">
        <f t="shared" ref="N3:N59" si="6">F3/$I3</f>
        <v>5.7712230330932729E-2</v>
      </c>
      <c r="O3" s="14">
        <f t="shared" ref="O3:O59" si="7">G3/$I3</f>
        <v>6.2787368677889088E-2</v>
      </c>
      <c r="P3" s="14">
        <f t="shared" ref="P3:P59" si="8">H3/$I3</f>
        <v>8.3635410020979545E-2</v>
      </c>
      <c r="Q3" s="10">
        <v>26160.784</v>
      </c>
      <c r="R3" s="23">
        <f t="shared" ref="R3:R59" si="9">I3/Q3</f>
        <v>0.15290398024768675</v>
      </c>
      <c r="S3" s="11">
        <v>31911.7</v>
      </c>
      <c r="T3" s="22">
        <f t="shared" ref="T3:T59" si="10">I3/S3</f>
        <v>0.12534863388663092</v>
      </c>
      <c r="U3" s="24">
        <f>S3+dep_pre_eng_nomi!D26</f>
        <v>59292.675000000003</v>
      </c>
      <c r="V3" s="22">
        <f t="shared" ref="V3:V59" si="11">I3/U3</f>
        <v>6.7463442996963788E-2</v>
      </c>
    </row>
    <row r="4" spans="1:22" x14ac:dyDescent="0.2">
      <c r="A4" s="9">
        <v>1961</v>
      </c>
      <c r="B4" s="11">
        <f>dep_pre_eng_nomi!K5</f>
        <v>1037.6300000000001</v>
      </c>
      <c r="C4" s="12">
        <f>dep_pre_eng_nomi!B5-dep_pre_eng_nomi!K5</f>
        <v>2392.8969999999999</v>
      </c>
      <c r="D4" s="13">
        <f>dep_pre_eng_nomi!Q5</f>
        <v>117.29</v>
      </c>
      <c r="E4" s="13">
        <f>dep_pre_eng_nomi!R5</f>
        <v>54.131999999999998</v>
      </c>
      <c r="F4" s="13">
        <f>dep_pre_eng_nomi!S5</f>
        <v>258.32600000000002</v>
      </c>
      <c r="G4" s="13">
        <f>dep_pre_eng_nomi!T5</f>
        <v>263.27300000000002</v>
      </c>
      <c r="H4" s="13">
        <f>dep_pre_eng_nomi!Y5</f>
        <v>359.66</v>
      </c>
      <c r="I4" s="13">
        <f t="shared" si="1"/>
        <v>4483.2079999999996</v>
      </c>
      <c r="J4" s="14">
        <f t="shared" si="2"/>
        <v>0.2314481059098753</v>
      </c>
      <c r="K4" s="14">
        <f t="shared" si="3"/>
        <v>0.53374659395682733</v>
      </c>
      <c r="L4" s="14">
        <f t="shared" si="4"/>
        <v>2.6162069660832156E-2</v>
      </c>
      <c r="M4" s="14">
        <f t="shared" si="5"/>
        <v>1.2074389588883674E-2</v>
      </c>
      <c r="N4" s="14">
        <f t="shared" si="6"/>
        <v>5.7620792967892645E-2</v>
      </c>
      <c r="O4" s="14">
        <f t="shared" si="7"/>
        <v>5.872424388964332E-2</v>
      </c>
      <c r="P4" s="14">
        <f t="shared" si="8"/>
        <v>8.0223804026045648E-2</v>
      </c>
      <c r="Q4" s="10">
        <v>28509.200000000001</v>
      </c>
      <c r="R4" s="23">
        <f t="shared" si="9"/>
        <v>0.15725478091282813</v>
      </c>
      <c r="S4" s="11">
        <v>34435.5</v>
      </c>
      <c r="T4" s="22">
        <f t="shared" si="10"/>
        <v>0.13019145939510096</v>
      </c>
      <c r="U4" s="24">
        <f>S4+dep_pre_eng_nomi!D27</f>
        <v>66055.592000000004</v>
      </c>
      <c r="V4" s="22">
        <f t="shared" si="11"/>
        <v>6.7870226641826167E-2</v>
      </c>
    </row>
    <row r="5" spans="1:22" x14ac:dyDescent="0.2">
      <c r="A5" s="9">
        <v>1962</v>
      </c>
      <c r="B5" s="11">
        <f>dep_pre_eng_nomi!K6</f>
        <v>1167.204</v>
      </c>
      <c r="C5" s="12">
        <f>dep_pre_eng_nomi!B6-dep_pre_eng_nomi!K6</f>
        <v>2862.9300000000003</v>
      </c>
      <c r="D5" s="13">
        <f>dep_pre_eng_nomi!Q6</f>
        <v>128.90199999999999</v>
      </c>
      <c r="E5" s="13">
        <f>dep_pre_eng_nomi!R6</f>
        <v>65.778000000000006</v>
      </c>
      <c r="F5" s="13">
        <f>dep_pre_eng_nomi!S6</f>
        <v>282.87299999999999</v>
      </c>
      <c r="G5" s="13">
        <f>dep_pre_eng_nomi!T6</f>
        <v>296.40199999999999</v>
      </c>
      <c r="H5" s="13">
        <f>dep_pre_eng_nomi!Y6</f>
        <v>384.11900000000003</v>
      </c>
      <c r="I5" s="13">
        <f t="shared" si="1"/>
        <v>5188.2079999999996</v>
      </c>
      <c r="J5" s="14">
        <f t="shared" si="2"/>
        <v>0.22497247604567897</v>
      </c>
      <c r="K5" s="14">
        <f t="shared" si="3"/>
        <v>0.551814807733229</v>
      </c>
      <c r="L5" s="14">
        <f t="shared" si="4"/>
        <v>2.4845187394183114E-2</v>
      </c>
      <c r="M5" s="14">
        <f t="shared" si="5"/>
        <v>1.2678366017707851E-2</v>
      </c>
      <c r="N5" s="14">
        <f t="shared" si="6"/>
        <v>5.4522293632020921E-2</v>
      </c>
      <c r="O5" s="14">
        <f t="shared" si="7"/>
        <v>5.7129937735726867E-2</v>
      </c>
      <c r="P5" s="14">
        <f t="shared" si="8"/>
        <v>7.4036931441453402E-2</v>
      </c>
      <c r="Q5" s="10">
        <v>31918.286</v>
      </c>
      <c r="R5" s="23">
        <f t="shared" si="9"/>
        <v>0.16254657283288956</v>
      </c>
      <c r="S5" s="11">
        <v>39577.800000000003</v>
      </c>
      <c r="T5" s="22">
        <f t="shared" si="10"/>
        <v>0.13108884273506863</v>
      </c>
      <c r="U5" s="24">
        <f>S5+dep_pre_eng_nomi!D28</f>
        <v>75494.65400000001</v>
      </c>
      <c r="V5" s="22">
        <f t="shared" si="11"/>
        <v>6.8722852879092591E-2</v>
      </c>
    </row>
    <row r="6" spans="1:22" x14ac:dyDescent="0.2">
      <c r="A6" s="9">
        <v>1963</v>
      </c>
      <c r="B6" s="11">
        <f>dep_pre_eng_nomi!K7</f>
        <v>1339.8920000000001</v>
      </c>
      <c r="C6" s="12">
        <f>dep_pre_eng_nomi!B7-dep_pre_eng_nomi!K7</f>
        <v>3416.6120000000001</v>
      </c>
      <c r="D6" s="13">
        <f>dep_pre_eng_nomi!Q7</f>
        <v>140.28</v>
      </c>
      <c r="E6" s="13">
        <f>dep_pre_eng_nomi!R7</f>
        <v>72.033000000000001</v>
      </c>
      <c r="F6" s="13">
        <f>dep_pre_eng_nomi!S7</f>
        <v>321.09800000000001</v>
      </c>
      <c r="G6" s="13">
        <f>dep_pre_eng_nomi!T7</f>
        <v>363.99</v>
      </c>
      <c r="H6" s="13">
        <f>dep_pre_eng_nomi!Y7</f>
        <v>455.714</v>
      </c>
      <c r="I6" s="13">
        <f t="shared" si="1"/>
        <v>6109.6189999999997</v>
      </c>
      <c r="J6" s="14">
        <f t="shared" si="2"/>
        <v>0.21930860173113906</v>
      </c>
      <c r="K6" s="14">
        <f t="shared" si="3"/>
        <v>0.55921850445993448</v>
      </c>
      <c r="L6" s="14">
        <f t="shared" si="4"/>
        <v>2.2960515213796474E-2</v>
      </c>
      <c r="M6" s="14">
        <f t="shared" si="5"/>
        <v>1.1790096894749084E-2</v>
      </c>
      <c r="N6" s="14">
        <f t="shared" si="6"/>
        <v>5.2556141389503999E-2</v>
      </c>
      <c r="O6" s="14">
        <f t="shared" si="7"/>
        <v>5.9576546426217417E-2</v>
      </c>
      <c r="P6" s="14">
        <f t="shared" si="8"/>
        <v>7.4589593884659591E-2</v>
      </c>
      <c r="Q6" s="10">
        <v>35877.247000000003</v>
      </c>
      <c r="R6" s="23">
        <f t="shared" si="9"/>
        <v>0.17029230252811758</v>
      </c>
      <c r="S6" s="11">
        <v>44090.9</v>
      </c>
      <c r="T6" s="22">
        <f t="shared" si="10"/>
        <v>0.13856870692138284</v>
      </c>
      <c r="U6" s="24">
        <f>S6+dep_pre_eng_nomi!D29</f>
        <v>83263.277999999991</v>
      </c>
      <c r="V6" s="22">
        <f t="shared" si="11"/>
        <v>7.3377113497741467E-2</v>
      </c>
    </row>
    <row r="7" spans="1:22" x14ac:dyDescent="0.2">
      <c r="A7" s="9">
        <v>1964</v>
      </c>
      <c r="B7" s="11">
        <f>dep_pre_eng_nomi!K8</f>
        <v>1351.8050000000001</v>
      </c>
      <c r="C7" s="12">
        <f>dep_pre_eng_nomi!B8-dep_pre_eng_nomi!K8</f>
        <v>3881.62</v>
      </c>
      <c r="D7" s="13">
        <f>dep_pre_eng_nomi!Q8</f>
        <v>154.98400000000001</v>
      </c>
      <c r="E7" s="13">
        <f>dep_pre_eng_nomi!R8</f>
        <v>79.903999999999996</v>
      </c>
      <c r="F7" s="13">
        <f>dep_pre_eng_nomi!S8</f>
        <v>365.30500000000001</v>
      </c>
      <c r="G7" s="13">
        <f>dep_pre_eng_nomi!T8</f>
        <v>450.714</v>
      </c>
      <c r="H7" s="13">
        <f>dep_pre_eng_nomi!Y8</f>
        <v>543.86500000000001</v>
      </c>
      <c r="I7" s="13">
        <f t="shared" si="1"/>
        <v>6828.1970000000001</v>
      </c>
      <c r="J7" s="14">
        <f t="shared" si="2"/>
        <v>0.19797393074628633</v>
      </c>
      <c r="K7" s="14">
        <f t="shared" si="3"/>
        <v>0.56846924598104009</v>
      </c>
      <c r="L7" s="14">
        <f t="shared" si="4"/>
        <v>2.269764624541442E-2</v>
      </c>
      <c r="M7" s="14">
        <f t="shared" si="5"/>
        <v>1.1702064249171487E-2</v>
      </c>
      <c r="N7" s="14">
        <f t="shared" si="6"/>
        <v>5.3499481634756582E-2</v>
      </c>
      <c r="O7" s="14">
        <f t="shared" si="7"/>
        <v>6.6007761638980242E-2</v>
      </c>
      <c r="P7" s="14">
        <f t="shared" si="8"/>
        <v>7.9649869504350851E-2</v>
      </c>
      <c r="Q7" s="10">
        <v>39101.538</v>
      </c>
      <c r="R7" s="23">
        <f t="shared" si="9"/>
        <v>0.17462732540085762</v>
      </c>
      <c r="S7" s="11">
        <v>47882.1</v>
      </c>
      <c r="T7" s="22">
        <f t="shared" si="10"/>
        <v>0.14260437616562349</v>
      </c>
      <c r="U7" s="24">
        <f>S7+dep_pre_eng_nomi!D30</f>
        <v>90508.716</v>
      </c>
      <c r="V7" s="22">
        <f t="shared" si="11"/>
        <v>7.5442424793651916E-2</v>
      </c>
    </row>
    <row r="8" spans="1:22" x14ac:dyDescent="0.2">
      <c r="A8" s="9">
        <v>1965</v>
      </c>
      <c r="B8" s="11">
        <f>dep_pre_eng_nomi!K9</f>
        <v>1443.299</v>
      </c>
      <c r="C8" s="12">
        <f>dep_pre_eng_nomi!B9-dep_pre_eng_nomi!K9</f>
        <v>4500.5389999999998</v>
      </c>
      <c r="D8" s="13">
        <f>dep_pre_eng_nomi!Q9</f>
        <v>181.17</v>
      </c>
      <c r="E8" s="13">
        <f>dep_pre_eng_nomi!R9</f>
        <v>88.745999999999995</v>
      </c>
      <c r="F8" s="13">
        <f>dep_pre_eng_nomi!S9</f>
        <v>397.625</v>
      </c>
      <c r="G8" s="13">
        <f>dep_pre_eng_nomi!T9</f>
        <v>535.55899999999997</v>
      </c>
      <c r="H8" s="13">
        <f>dep_pre_eng_nomi!Y9</f>
        <v>559.33399999999995</v>
      </c>
      <c r="I8" s="13">
        <f t="shared" si="1"/>
        <v>7706.2719999999999</v>
      </c>
      <c r="J8" s="14">
        <f t="shared" si="2"/>
        <v>0.18728887327101873</v>
      </c>
      <c r="K8" s="14">
        <f t="shared" si="3"/>
        <v>0.58400988182093749</v>
      </c>
      <c r="L8" s="14">
        <f t="shared" si="4"/>
        <v>2.3509421935794635E-2</v>
      </c>
      <c r="M8" s="14">
        <f t="shared" si="5"/>
        <v>1.1516074179577361E-2</v>
      </c>
      <c r="N8" s="14">
        <f t="shared" si="6"/>
        <v>5.1597581813878357E-2</v>
      </c>
      <c r="O8" s="14">
        <f t="shared" si="7"/>
        <v>6.94965088177526E-2</v>
      </c>
      <c r="P8" s="14">
        <f t="shared" si="8"/>
        <v>7.2581658161040771E-2</v>
      </c>
      <c r="Q8" s="10">
        <v>41690.182999999997</v>
      </c>
      <c r="R8" s="23">
        <f t="shared" si="9"/>
        <v>0.18484620228220155</v>
      </c>
      <c r="S8" s="11">
        <v>51445.7</v>
      </c>
      <c r="T8" s="22">
        <f t="shared" si="10"/>
        <v>0.14979428795798289</v>
      </c>
      <c r="U8" s="24">
        <f>S8+dep_pre_eng_nomi!D31</f>
        <v>98113.817999999999</v>
      </c>
      <c r="V8" s="22">
        <f t="shared" si="11"/>
        <v>7.8544206688603235E-2</v>
      </c>
    </row>
    <row r="9" spans="1:22" x14ac:dyDescent="0.2">
      <c r="A9" s="9">
        <v>1966</v>
      </c>
      <c r="B9" s="11">
        <f>dep_pre_eng_nomi!K10</f>
        <v>1507.6010000000001</v>
      </c>
      <c r="C9" s="12">
        <f>dep_pre_eng_nomi!B10-dep_pre_eng_nomi!K10</f>
        <v>5196.384</v>
      </c>
      <c r="D9" s="13">
        <f>dep_pre_eng_nomi!Q10</f>
        <v>190.744</v>
      </c>
      <c r="E9" s="13">
        <f>dep_pre_eng_nomi!R10</f>
        <v>95.754999999999995</v>
      </c>
      <c r="F9" s="13">
        <f>dep_pre_eng_nomi!S10</f>
        <v>434.63200000000001</v>
      </c>
      <c r="G9" s="13">
        <f>dep_pre_eng_nomi!T10</f>
        <v>598.63699999999994</v>
      </c>
      <c r="H9" s="13">
        <f>dep_pre_eng_nomi!Y10</f>
        <v>608.54</v>
      </c>
      <c r="I9" s="13">
        <f t="shared" si="1"/>
        <v>8632.2929999999997</v>
      </c>
      <c r="J9" s="14">
        <f t="shared" si="2"/>
        <v>0.17464664371332161</v>
      </c>
      <c r="K9" s="14">
        <f t="shared" si="3"/>
        <v>0.60197029920091916</v>
      </c>
      <c r="L9" s="14">
        <f t="shared" si="4"/>
        <v>2.2096562292313295E-2</v>
      </c>
      <c r="M9" s="14">
        <f t="shared" si="5"/>
        <v>1.1092649426983073E-2</v>
      </c>
      <c r="N9" s="14">
        <f t="shared" si="6"/>
        <v>5.0349542120500315E-2</v>
      </c>
      <c r="O9" s="14">
        <f t="shared" si="7"/>
        <v>6.9348549684307509E-2</v>
      </c>
      <c r="P9" s="14">
        <f t="shared" si="8"/>
        <v>7.049575356165505E-2</v>
      </c>
      <c r="Q9" s="10">
        <v>45008.733999999997</v>
      </c>
      <c r="R9" s="23">
        <f t="shared" si="9"/>
        <v>0.19179150873250511</v>
      </c>
      <c r="S9" s="11">
        <v>55574.7</v>
      </c>
      <c r="T9" s="22">
        <f t="shared" si="10"/>
        <v>0.15532774805801922</v>
      </c>
      <c r="U9" s="24">
        <f>S9+dep_pre_eng_nomi!D32</f>
        <v>107284.71400000001</v>
      </c>
      <c r="V9" s="22">
        <f t="shared" si="11"/>
        <v>8.046153713939154E-2</v>
      </c>
    </row>
    <row r="10" spans="1:22" x14ac:dyDescent="0.2">
      <c r="A10" s="9">
        <v>1967</v>
      </c>
      <c r="B10" s="11">
        <f>dep_pre_eng_nomi!K11</f>
        <v>1691.4970000000001</v>
      </c>
      <c r="C10" s="12">
        <f>dep_pre_eng_nomi!B11-dep_pre_eng_nomi!K11</f>
        <v>6094.0199999999995</v>
      </c>
      <c r="D10" s="13">
        <f>dep_pre_eng_nomi!Q11</f>
        <v>212.28299999999999</v>
      </c>
      <c r="E10" s="13">
        <f>dep_pre_eng_nomi!R11</f>
        <v>110.636</v>
      </c>
      <c r="F10" s="13">
        <f>dep_pre_eng_nomi!S11</f>
        <v>466.13200000000001</v>
      </c>
      <c r="G10" s="13">
        <f>dep_pre_eng_nomi!T11</f>
        <v>677.19100000000003</v>
      </c>
      <c r="H10" s="13">
        <f>dep_pre_eng_nomi!Y11</f>
        <v>689.95899999999995</v>
      </c>
      <c r="I10" s="13">
        <f t="shared" si="1"/>
        <v>9941.7180000000026</v>
      </c>
      <c r="J10" s="14">
        <f t="shared" si="2"/>
        <v>0.17014131762739595</v>
      </c>
      <c r="K10" s="14">
        <f t="shared" si="3"/>
        <v>0.61297453820355774</v>
      </c>
      <c r="L10" s="14">
        <f t="shared" si="4"/>
        <v>2.1352748086397134E-2</v>
      </c>
      <c r="M10" s="14">
        <f t="shared" si="5"/>
        <v>1.1128458884068123E-2</v>
      </c>
      <c r="N10" s="14">
        <f t="shared" si="6"/>
        <v>4.6886463687664436E-2</v>
      </c>
      <c r="O10" s="14">
        <f t="shared" si="7"/>
        <v>6.8116094220334947E-2</v>
      </c>
      <c r="P10" s="14">
        <f t="shared" si="8"/>
        <v>6.9400379290581349E-2</v>
      </c>
      <c r="Q10" s="10">
        <v>48740.9</v>
      </c>
      <c r="R10" s="23">
        <f t="shared" si="9"/>
        <v>0.20397075146335014</v>
      </c>
      <c r="S10" s="11">
        <v>60552.9</v>
      </c>
      <c r="T10" s="22">
        <f t="shared" si="10"/>
        <v>0.1641823595566852</v>
      </c>
      <c r="U10" s="24">
        <f>S10+dep_pre_eng_nomi!D33</f>
        <v>117442.72200000001</v>
      </c>
      <c r="V10" s="22">
        <f t="shared" si="11"/>
        <v>8.4651631286270776E-2</v>
      </c>
    </row>
    <row r="11" spans="1:22" x14ac:dyDescent="0.2">
      <c r="A11" s="9">
        <v>1968</v>
      </c>
      <c r="B11" s="11">
        <f>dep_pre_eng_nomi!K12</f>
        <v>1936.8710000000001</v>
      </c>
      <c r="C11" s="12">
        <f>dep_pre_eng_nomi!B12-dep_pre_eng_nomi!K12</f>
        <v>7070.222999999999</v>
      </c>
      <c r="D11" s="13">
        <f>dep_pre_eng_nomi!Q12</f>
        <v>227.71299999999999</v>
      </c>
      <c r="E11" s="13">
        <f>dep_pre_eng_nomi!R12</f>
        <v>111.715</v>
      </c>
      <c r="F11" s="13">
        <f>dep_pre_eng_nomi!S12</f>
        <v>492.76400000000001</v>
      </c>
      <c r="G11" s="13">
        <f>dep_pre_eng_nomi!T12</f>
        <v>744.91300000000001</v>
      </c>
      <c r="H11" s="13">
        <f>dep_pre_eng_nomi!Y12</f>
        <v>870.41899999999998</v>
      </c>
      <c r="I11" s="13">
        <f t="shared" si="1"/>
        <v>11454.617999999999</v>
      </c>
      <c r="J11" s="14">
        <f t="shared" si="2"/>
        <v>0.16909084178974806</v>
      </c>
      <c r="K11" s="14">
        <f t="shared" si="3"/>
        <v>0.61723778130357554</v>
      </c>
      <c r="L11" s="14">
        <f t="shared" si="4"/>
        <v>1.9879580445196866E-2</v>
      </c>
      <c r="M11" s="14">
        <f t="shared" si="5"/>
        <v>9.7528350574414627E-3</v>
      </c>
      <c r="N11" s="14">
        <f t="shared" si="6"/>
        <v>4.3018806912635592E-2</v>
      </c>
      <c r="O11" s="14">
        <f t="shared" si="7"/>
        <v>6.5031675434309558E-2</v>
      </c>
      <c r="P11" s="14">
        <f t="shared" si="8"/>
        <v>7.5988479057092967E-2</v>
      </c>
      <c r="Q11" s="10">
        <v>53403.601999999999</v>
      </c>
      <c r="R11" s="23">
        <f t="shared" si="9"/>
        <v>0.21449148692254877</v>
      </c>
      <c r="S11" s="11">
        <v>66481.600000000006</v>
      </c>
      <c r="T11" s="22">
        <f t="shared" si="10"/>
        <v>0.17229756804890373</v>
      </c>
      <c r="U11" s="24">
        <f>S11+dep_pre_eng_nomi!D34</f>
        <v>127677.40100000001</v>
      </c>
      <c r="V11" s="22">
        <f t="shared" si="11"/>
        <v>8.9715313049017947E-2</v>
      </c>
    </row>
    <row r="12" spans="1:22" x14ac:dyDescent="0.2">
      <c r="A12" s="9">
        <v>1969</v>
      </c>
      <c r="B12" s="11">
        <f>dep_pre_eng_nomi!K13</f>
        <v>2173.6419999999998</v>
      </c>
      <c r="C12" s="12">
        <f>dep_pre_eng_nomi!B13-dep_pre_eng_nomi!K13</f>
        <v>8422.4719999999998</v>
      </c>
      <c r="D12" s="13">
        <f>dep_pre_eng_nomi!Q13</f>
        <v>299.56900000000002</v>
      </c>
      <c r="E12" s="13">
        <f>dep_pre_eng_nomi!R13</f>
        <v>122.929</v>
      </c>
      <c r="F12" s="13">
        <f>dep_pre_eng_nomi!S13</f>
        <v>564.60599999999999</v>
      </c>
      <c r="G12" s="13">
        <f>dep_pre_eng_nomi!T13</f>
        <v>875.64599999999996</v>
      </c>
      <c r="H12" s="13">
        <f>dep_pre_eng_nomi!Y13</f>
        <v>1249.636</v>
      </c>
      <c r="I12" s="13">
        <f t="shared" si="1"/>
        <v>13708.5</v>
      </c>
      <c r="J12" s="14">
        <f t="shared" si="2"/>
        <v>0.15856162235109603</v>
      </c>
      <c r="K12" s="14">
        <f t="shared" si="3"/>
        <v>0.61439778239778242</v>
      </c>
      <c r="L12" s="14">
        <f t="shared" si="4"/>
        <v>2.1852792063318381E-2</v>
      </c>
      <c r="M12" s="14">
        <f t="shared" si="5"/>
        <v>8.9673560199875994E-3</v>
      </c>
      <c r="N12" s="14">
        <f t="shared" si="6"/>
        <v>4.1186563081299921E-2</v>
      </c>
      <c r="O12" s="14">
        <f t="shared" si="7"/>
        <v>6.3876135244556292E-2</v>
      </c>
      <c r="P12" s="14">
        <f t="shared" si="8"/>
        <v>9.115774884195936E-2</v>
      </c>
      <c r="Q12" s="10">
        <v>60894.786999999997</v>
      </c>
      <c r="R12" s="23">
        <f t="shared" si="9"/>
        <v>0.22511779210263105</v>
      </c>
      <c r="S12" s="11">
        <v>74577.8</v>
      </c>
      <c r="T12" s="22">
        <f t="shared" si="10"/>
        <v>0.18381475452480497</v>
      </c>
      <c r="U12" s="24">
        <f>S12+dep_pre_eng_nomi!D35</f>
        <v>140696.80900000001</v>
      </c>
      <c r="V12" s="22">
        <f t="shared" si="11"/>
        <v>9.7432913350579256E-2</v>
      </c>
    </row>
    <row r="13" spans="1:22" x14ac:dyDescent="0.2">
      <c r="A13" s="9">
        <v>1970</v>
      </c>
      <c r="B13" s="11">
        <f>dep_pre_eng_nomi!K14</f>
        <v>2461.0070000000001</v>
      </c>
      <c r="C13" s="12">
        <f>dep_pre_eng_nomi!B14-dep_pre_eng_nomi!K14</f>
        <v>9610.607</v>
      </c>
      <c r="D13" s="13">
        <f>dep_pre_eng_nomi!Q14</f>
        <v>337.75200000000001</v>
      </c>
      <c r="E13" s="13">
        <f>dep_pre_eng_nomi!R14</f>
        <v>134.68199999999999</v>
      </c>
      <c r="F13" s="13">
        <f>dep_pre_eng_nomi!S14</f>
        <v>612.66099999999994</v>
      </c>
      <c r="G13" s="13">
        <f>dep_pre_eng_nomi!T14</f>
        <v>950.16200000000003</v>
      </c>
      <c r="H13" s="13">
        <f>dep_pre_eng_nomi!Y14</f>
        <v>1500.9280000000001</v>
      </c>
      <c r="I13" s="13">
        <f t="shared" si="1"/>
        <v>15607.799000000001</v>
      </c>
      <c r="J13" s="14">
        <f t="shared" si="2"/>
        <v>0.15767803006689154</v>
      </c>
      <c r="K13" s="14">
        <f t="shared" si="3"/>
        <v>0.61575671239743668</v>
      </c>
      <c r="L13" s="14">
        <f t="shared" si="4"/>
        <v>2.163995064262424E-2</v>
      </c>
      <c r="M13" s="14">
        <f t="shared" si="5"/>
        <v>8.6291475178530922E-3</v>
      </c>
      <c r="N13" s="14">
        <f t="shared" si="6"/>
        <v>3.9253516783500343E-2</v>
      </c>
      <c r="O13" s="14">
        <f t="shared" si="7"/>
        <v>6.0877385722355855E-2</v>
      </c>
      <c r="P13" s="14">
        <f t="shared" si="8"/>
        <v>9.6165256869338203E-2</v>
      </c>
      <c r="Q13" s="10">
        <v>66849.695999999996</v>
      </c>
      <c r="R13" s="23">
        <f t="shared" si="9"/>
        <v>0.23347599067615807</v>
      </c>
      <c r="S13" s="11">
        <v>83989.2</v>
      </c>
      <c r="T13" s="22">
        <f t="shared" si="10"/>
        <v>0.18583102351254688</v>
      </c>
      <c r="U13" s="24">
        <f>S13+dep_pre_eng_nomi!D36</f>
        <v>155725.772</v>
      </c>
      <c r="V13" s="22">
        <f t="shared" si="11"/>
        <v>0.10022617836179358</v>
      </c>
    </row>
    <row r="14" spans="1:22" x14ac:dyDescent="0.2">
      <c r="A14" s="9">
        <v>1971</v>
      </c>
      <c r="B14" s="11">
        <f>dep_pre_eng_nomi!K15</f>
        <v>2817.0430000000001</v>
      </c>
      <c r="C14" s="12">
        <f>dep_pre_eng_nomi!B15-dep_pre_eng_nomi!K15</f>
        <v>10731.395</v>
      </c>
      <c r="D14" s="13">
        <f>dep_pre_eng_nomi!Q15</f>
        <v>382.36900000000003</v>
      </c>
      <c r="E14" s="13">
        <f>dep_pre_eng_nomi!R15</f>
        <v>165.63</v>
      </c>
      <c r="F14" s="13">
        <f>dep_pre_eng_nomi!S15</f>
        <v>701.09500000000003</v>
      </c>
      <c r="G14" s="13">
        <f>dep_pre_eng_nomi!T15</f>
        <v>1088.068</v>
      </c>
      <c r="H14" s="13">
        <f>dep_pre_eng_nomi!Y15</f>
        <v>1708.6489999999999</v>
      </c>
      <c r="I14" s="13">
        <f t="shared" si="1"/>
        <v>17594.249</v>
      </c>
      <c r="J14" s="14">
        <f t="shared" si="2"/>
        <v>0.16011157964173409</v>
      </c>
      <c r="K14" s="14">
        <f t="shared" si="3"/>
        <v>0.60993765633304386</v>
      </c>
      <c r="L14" s="14">
        <f t="shared" si="4"/>
        <v>2.173261274181126E-2</v>
      </c>
      <c r="M14" s="14">
        <f t="shared" si="5"/>
        <v>9.4138715440482846E-3</v>
      </c>
      <c r="N14" s="14">
        <f t="shared" si="6"/>
        <v>3.9847963956858863E-2</v>
      </c>
      <c r="O14" s="14">
        <f t="shared" si="7"/>
        <v>6.1842253113503165E-2</v>
      </c>
      <c r="P14" s="14">
        <f t="shared" si="8"/>
        <v>9.7114062669000537E-2</v>
      </c>
      <c r="Q14" s="10">
        <v>74593.706000000006</v>
      </c>
      <c r="R14" s="23">
        <f t="shared" si="9"/>
        <v>0.23586774197812344</v>
      </c>
      <c r="S14" s="11">
        <v>93629.1</v>
      </c>
      <c r="T14" s="22">
        <f t="shared" si="10"/>
        <v>0.18791432364510605</v>
      </c>
      <c r="U14" s="24">
        <f>S14+dep_pre_eng_nomi!D37</f>
        <v>170265.353</v>
      </c>
      <c r="V14" s="22">
        <f t="shared" si="11"/>
        <v>0.10333428786301579</v>
      </c>
    </row>
    <row r="15" spans="1:22" x14ac:dyDescent="0.2">
      <c r="A15" s="9">
        <v>1972</v>
      </c>
      <c r="B15" s="11">
        <f>dep_pre_eng_nomi!K16</f>
        <v>3101.32</v>
      </c>
      <c r="C15" s="12">
        <f>dep_pre_eng_nomi!B16-dep_pre_eng_nomi!K16</f>
        <v>11935.710000000001</v>
      </c>
      <c r="D15" s="13">
        <f>dep_pre_eng_nomi!Q16</f>
        <v>431.66500000000002</v>
      </c>
      <c r="E15" s="13">
        <f>dep_pre_eng_nomi!R16</f>
        <v>171.99199999999999</v>
      </c>
      <c r="F15" s="13">
        <f>dep_pre_eng_nomi!S16</f>
        <v>803.68799999999999</v>
      </c>
      <c r="G15" s="13">
        <f>dep_pre_eng_nomi!T16</f>
        <v>1255.6579999999999</v>
      </c>
      <c r="H15" s="13">
        <f>dep_pre_eng_nomi!Y16</f>
        <v>1814.184</v>
      </c>
      <c r="I15" s="13">
        <f t="shared" si="1"/>
        <v>19514.217000000001</v>
      </c>
      <c r="J15" s="14">
        <f t="shared" si="2"/>
        <v>0.15892618187037688</v>
      </c>
      <c r="K15" s="14">
        <f t="shared" si="3"/>
        <v>0.61164175841644075</v>
      </c>
      <c r="L15" s="14">
        <f t="shared" si="4"/>
        <v>2.2120539092088606E-2</v>
      </c>
      <c r="M15" s="14">
        <f t="shared" si="5"/>
        <v>8.8136767158016119E-3</v>
      </c>
      <c r="N15" s="14">
        <f t="shared" si="6"/>
        <v>4.1184742385513083E-2</v>
      </c>
      <c r="O15" s="14">
        <f t="shared" si="7"/>
        <v>6.4345804907263243E-2</v>
      </c>
      <c r="P15" s="14">
        <f t="shared" si="8"/>
        <v>9.296729661251589E-2</v>
      </c>
      <c r="Q15" s="10">
        <v>83046.157000000007</v>
      </c>
      <c r="R15" s="23">
        <f t="shared" si="9"/>
        <v>0.23498037362523588</v>
      </c>
      <c r="S15" s="11">
        <v>104922.5</v>
      </c>
      <c r="T15" s="22">
        <f t="shared" si="10"/>
        <v>0.1859869618051419</v>
      </c>
      <c r="U15" s="24">
        <f>S15+dep_pre_eng_nomi!D38</f>
        <v>185513.60800000001</v>
      </c>
      <c r="V15" s="22">
        <f t="shared" si="11"/>
        <v>0.10519021871430585</v>
      </c>
    </row>
    <row r="16" spans="1:22" x14ac:dyDescent="0.2">
      <c r="A16" s="9">
        <v>1973</v>
      </c>
      <c r="B16" s="11">
        <f>dep_pre_eng_nomi!K17</f>
        <v>3502.145</v>
      </c>
      <c r="C16" s="12">
        <f>dep_pre_eng_nomi!B17-dep_pre_eng_nomi!K17</f>
        <v>13298.912</v>
      </c>
      <c r="D16" s="13">
        <f>dep_pre_eng_nomi!Q17</f>
        <v>526.19500000000005</v>
      </c>
      <c r="E16" s="13">
        <f>dep_pre_eng_nomi!R17</f>
        <v>184.93199999999999</v>
      </c>
      <c r="F16" s="13">
        <f>dep_pre_eng_nomi!S17</f>
        <v>883.62099999999998</v>
      </c>
      <c r="G16" s="13">
        <f>dep_pre_eng_nomi!T17</f>
        <v>1476.9459999999999</v>
      </c>
      <c r="H16" s="13">
        <f>dep_pre_eng_nomi!Y17</f>
        <v>2662.7469999999998</v>
      </c>
      <c r="I16" s="13">
        <f t="shared" si="1"/>
        <v>22535.498</v>
      </c>
      <c r="J16" s="14">
        <f t="shared" si="2"/>
        <v>0.15540570703163517</v>
      </c>
      <c r="K16" s="14">
        <f t="shared" si="3"/>
        <v>0.59013171131163822</v>
      </c>
      <c r="L16" s="14">
        <f t="shared" si="4"/>
        <v>2.3349606030450273E-2</v>
      </c>
      <c r="M16" s="14">
        <f t="shared" si="5"/>
        <v>8.2062530856873012E-3</v>
      </c>
      <c r="N16" s="14">
        <f t="shared" si="6"/>
        <v>3.9210182974434377E-2</v>
      </c>
      <c r="O16" s="14">
        <f t="shared" si="7"/>
        <v>6.5538644852667555E-2</v>
      </c>
      <c r="P16" s="14">
        <f t="shared" si="8"/>
        <v>0.11815789471348713</v>
      </c>
      <c r="Q16" s="10">
        <v>94051.126000000004</v>
      </c>
      <c r="R16" s="23">
        <f t="shared" si="9"/>
        <v>0.23960901860972933</v>
      </c>
      <c r="S16" s="11">
        <v>118923.4</v>
      </c>
      <c r="T16" s="22">
        <f t="shared" si="10"/>
        <v>0.1894959108131789</v>
      </c>
      <c r="U16" s="24">
        <f>S16+dep_pre_eng_nomi!D39</f>
        <v>203158.136</v>
      </c>
      <c r="V16" s="22">
        <f t="shared" si="11"/>
        <v>0.1109258946931862</v>
      </c>
    </row>
    <row r="17" spans="1:22" x14ac:dyDescent="0.2">
      <c r="A17" s="9">
        <v>1974</v>
      </c>
      <c r="B17" s="11">
        <f>dep_pre_eng_nomi!K18</f>
        <v>4613.5249999999996</v>
      </c>
      <c r="C17" s="12">
        <f>dep_pre_eng_nomi!B18-dep_pre_eng_nomi!K18</f>
        <v>14963.068000000001</v>
      </c>
      <c r="D17" s="13">
        <f>dep_pre_eng_nomi!Q18</f>
        <v>680.34100000000001</v>
      </c>
      <c r="E17" s="13">
        <f>dep_pre_eng_nomi!R18</f>
        <v>213.184</v>
      </c>
      <c r="F17" s="13">
        <f>dep_pre_eng_nomi!S18</f>
        <v>1053.1489999999999</v>
      </c>
      <c r="G17" s="13">
        <f>dep_pre_eng_nomi!T18</f>
        <v>1678.8030000000001</v>
      </c>
      <c r="H17" s="13">
        <f>dep_pre_eng_nomi!Y18</f>
        <v>4379.72</v>
      </c>
      <c r="I17" s="13">
        <f t="shared" si="1"/>
        <v>27581.790000000005</v>
      </c>
      <c r="J17" s="14">
        <f t="shared" si="2"/>
        <v>0.16726706279759213</v>
      </c>
      <c r="K17" s="14">
        <f t="shared" si="3"/>
        <v>0.54249807572314912</v>
      </c>
      <c r="L17" s="14">
        <f t="shared" si="4"/>
        <v>2.4666310634661487E-2</v>
      </c>
      <c r="M17" s="14">
        <f t="shared" si="5"/>
        <v>7.7291575347357786E-3</v>
      </c>
      <c r="N17" s="14">
        <f t="shared" si="6"/>
        <v>3.81827647879271E-2</v>
      </c>
      <c r="O17" s="14">
        <f t="shared" si="7"/>
        <v>6.0866354214139107E-2</v>
      </c>
      <c r="P17" s="14">
        <f t="shared" si="8"/>
        <v>0.15879027430779508</v>
      </c>
      <c r="Q17" s="10">
        <v>110624.375</v>
      </c>
      <c r="R17" s="23">
        <f t="shared" si="9"/>
        <v>0.24932832388883558</v>
      </c>
      <c r="S17" s="11">
        <v>140846.39999999999</v>
      </c>
      <c r="T17" s="22">
        <f t="shared" si="10"/>
        <v>0.19582886037555811</v>
      </c>
      <c r="U17" s="24">
        <f>S17+dep_pre_eng_nomi!D40</f>
        <v>227998.48499999999</v>
      </c>
      <c r="V17" s="22">
        <f t="shared" si="11"/>
        <v>0.1209735669954123</v>
      </c>
    </row>
    <row r="18" spans="1:22" x14ac:dyDescent="0.2">
      <c r="A18" s="9">
        <v>1975</v>
      </c>
      <c r="B18" s="11">
        <f>dep_pre_eng_nomi!K19</f>
        <v>5370.4260000000004</v>
      </c>
      <c r="C18" s="12">
        <f>dep_pre_eng_nomi!B19-dep_pre_eng_nomi!K19</f>
        <v>17106.487000000001</v>
      </c>
      <c r="D18" s="13">
        <f>dep_pre_eng_nomi!Q19</f>
        <v>1014.311</v>
      </c>
      <c r="E18" s="13">
        <f>dep_pre_eng_nomi!R19</f>
        <v>239.279</v>
      </c>
      <c r="F18" s="13">
        <f>dep_pre_eng_nomi!S19</f>
        <v>1234.567</v>
      </c>
      <c r="G18" s="13">
        <f>dep_pre_eng_nomi!T19</f>
        <v>1966.6659999999999</v>
      </c>
      <c r="H18" s="13">
        <f>dep_pre_eng_nomi!Y19</f>
        <v>3788.3910000000001</v>
      </c>
      <c r="I18" s="13">
        <f t="shared" si="1"/>
        <v>30720.127</v>
      </c>
      <c r="J18" s="14">
        <f t="shared" si="2"/>
        <v>0.17481783197055142</v>
      </c>
      <c r="K18" s="14">
        <f t="shared" si="3"/>
        <v>0.55684948828499314</v>
      </c>
      <c r="L18" s="14">
        <f t="shared" si="4"/>
        <v>3.3017799698549427E-2</v>
      </c>
      <c r="M18" s="14">
        <f t="shared" si="5"/>
        <v>7.78899774730749E-3</v>
      </c>
      <c r="N18" s="14">
        <f t="shared" si="6"/>
        <v>4.0187561724598336E-2</v>
      </c>
      <c r="O18" s="14">
        <f t="shared" si="7"/>
        <v>6.4018810859733752E-2</v>
      </c>
      <c r="P18" s="14">
        <f t="shared" si="8"/>
        <v>0.12331950971426649</v>
      </c>
      <c r="Q18" s="10">
        <v>125970.655</v>
      </c>
      <c r="R18" s="23">
        <f t="shared" si="9"/>
        <v>0.24386732767246466</v>
      </c>
      <c r="S18" s="11">
        <v>162035.5</v>
      </c>
      <c r="T18" s="22">
        <f t="shared" si="10"/>
        <v>0.18958886787154666</v>
      </c>
      <c r="U18" s="24">
        <f>S18+dep_pre_eng_nomi!D41</f>
        <v>252263.826</v>
      </c>
      <c r="V18" s="22">
        <f t="shared" si="11"/>
        <v>0.12177777324284299</v>
      </c>
    </row>
    <row r="19" spans="1:22" x14ac:dyDescent="0.2">
      <c r="A19" s="9">
        <v>1976</v>
      </c>
      <c r="B19" s="11">
        <f>dep_pre_eng_nomi!K20</f>
        <v>6250.9960000000001</v>
      </c>
      <c r="C19" s="12">
        <f>dep_pre_eng_nomi!B20-dep_pre_eng_nomi!K20</f>
        <v>19939.861000000001</v>
      </c>
      <c r="D19" s="13">
        <f>dep_pre_eng_nomi!Q20</f>
        <v>1453.8989999999999</v>
      </c>
      <c r="E19" s="13">
        <f>dep_pre_eng_nomi!R20</f>
        <v>269.58300000000003</v>
      </c>
      <c r="F19" s="13">
        <f>dep_pre_eng_nomi!S20</f>
        <v>1391.0039999999999</v>
      </c>
      <c r="G19" s="13">
        <f>dep_pre_eng_nomi!T20</f>
        <v>2251.627</v>
      </c>
      <c r="H19" s="13">
        <f>dep_pre_eng_nomi!Y20</f>
        <v>4474.924</v>
      </c>
      <c r="I19" s="13">
        <f t="shared" si="1"/>
        <v>36031.894</v>
      </c>
      <c r="J19" s="14">
        <f t="shared" si="2"/>
        <v>0.1734850796352809</v>
      </c>
      <c r="K19" s="14">
        <f t="shared" si="3"/>
        <v>0.55339475077274591</v>
      </c>
      <c r="L19" s="14">
        <f t="shared" si="4"/>
        <v>4.0350335178050867E-2</v>
      </c>
      <c r="M19" s="14">
        <f t="shared" si="5"/>
        <v>7.4817882179604557E-3</v>
      </c>
      <c r="N19" s="14">
        <f t="shared" si="6"/>
        <v>3.8604798293423039E-2</v>
      </c>
      <c r="O19" s="14">
        <f t="shared" si="7"/>
        <v>6.2489831925016205E-2</v>
      </c>
      <c r="P19" s="14">
        <f t="shared" si="8"/>
        <v>0.12419341597752258</v>
      </c>
      <c r="Q19" s="10">
        <v>145670.72700000001</v>
      </c>
      <c r="R19" s="23">
        <f t="shared" si="9"/>
        <v>0.24735164533091125</v>
      </c>
      <c r="S19" s="11">
        <v>181938.6</v>
      </c>
      <c r="T19" s="22">
        <f t="shared" si="10"/>
        <v>0.19804425229170719</v>
      </c>
      <c r="U19" s="24">
        <f>S19+dep_pre_eng_nomi!D42</f>
        <v>276077.50099999999</v>
      </c>
      <c r="V19" s="22">
        <f t="shared" si="11"/>
        <v>0.13051369224035392</v>
      </c>
    </row>
    <row r="20" spans="1:22" x14ac:dyDescent="0.2">
      <c r="A20" s="9">
        <v>1977</v>
      </c>
      <c r="B20" s="11">
        <f>dep_pre_eng_nomi!K21</f>
        <v>7072.9840000000004</v>
      </c>
      <c r="C20" s="12">
        <f>dep_pre_eng_nomi!B21-dep_pre_eng_nomi!K21</f>
        <v>22782.370999999999</v>
      </c>
      <c r="D20" s="13">
        <f>dep_pre_eng_nomi!Q21</f>
        <v>1887.4690000000001</v>
      </c>
      <c r="E20" s="13">
        <f>dep_pre_eng_nomi!R21</f>
        <v>292.565</v>
      </c>
      <c r="F20" s="13">
        <f>dep_pre_eng_nomi!S21</f>
        <v>1561.885</v>
      </c>
      <c r="G20" s="13">
        <f>dep_pre_eng_nomi!T21</f>
        <v>2585.2350000000001</v>
      </c>
      <c r="H20" s="13">
        <f>dep_pre_eng_nomi!Y21</f>
        <v>4678.3909999999996</v>
      </c>
      <c r="I20" s="13">
        <f t="shared" si="1"/>
        <v>40860.899999999994</v>
      </c>
      <c r="J20" s="14">
        <f t="shared" si="2"/>
        <v>0.17309907515497705</v>
      </c>
      <c r="K20" s="14">
        <f t="shared" si="3"/>
        <v>0.55755920696803063</v>
      </c>
      <c r="L20" s="14">
        <f t="shared" si="4"/>
        <v>4.6192545930216912E-2</v>
      </c>
      <c r="M20" s="14">
        <f t="shared" si="5"/>
        <v>7.1600233964499082E-3</v>
      </c>
      <c r="N20" s="14">
        <f t="shared" si="6"/>
        <v>3.8224439500843109E-2</v>
      </c>
      <c r="O20" s="14">
        <f t="shared" si="7"/>
        <v>6.326916440900715E-2</v>
      </c>
      <c r="P20" s="14">
        <f t="shared" si="8"/>
        <v>0.11449554464047537</v>
      </c>
      <c r="Q20" s="10">
        <v>163386.95499999999</v>
      </c>
      <c r="R20" s="23">
        <f t="shared" si="9"/>
        <v>0.25008667307619509</v>
      </c>
      <c r="S20" s="11">
        <v>204453.3</v>
      </c>
      <c r="T20" s="22">
        <f t="shared" si="10"/>
        <v>0.19985444108752462</v>
      </c>
      <c r="U20" s="24">
        <f>S20+dep_pre_eng_nomi!D43</f>
        <v>302355.01</v>
      </c>
      <c r="V20" s="22">
        <f t="shared" si="11"/>
        <v>0.13514212977651666</v>
      </c>
    </row>
    <row r="21" spans="1:22" x14ac:dyDescent="0.2">
      <c r="A21" s="9">
        <v>1978</v>
      </c>
      <c r="B21" s="11">
        <f>dep_pre_eng_nomi!K22</f>
        <v>8464.2450000000008</v>
      </c>
      <c r="C21" s="12">
        <f>dep_pre_eng_nomi!B22-dep_pre_eng_nomi!K22</f>
        <v>25647.962</v>
      </c>
      <c r="D21" s="13">
        <f>dep_pre_eng_nomi!Q22</f>
        <v>2357.8789999999999</v>
      </c>
      <c r="E21" s="13">
        <f>dep_pre_eng_nomi!R22</f>
        <v>331.43099999999998</v>
      </c>
      <c r="F21" s="13">
        <f>dep_pre_eng_nomi!S22</f>
        <v>1737.163</v>
      </c>
      <c r="G21" s="13">
        <f>dep_pre_eng_nomi!T22</f>
        <v>2979.7049999999999</v>
      </c>
      <c r="H21" s="13">
        <f>dep_pre_eng_nomi!Y22</f>
        <v>5382.134</v>
      </c>
      <c r="I21" s="13">
        <f t="shared" si="1"/>
        <v>46900.519</v>
      </c>
      <c r="J21" s="14">
        <f t="shared" si="2"/>
        <v>0.18047230991196495</v>
      </c>
      <c r="K21" s="14">
        <f t="shared" si="3"/>
        <v>0.54685880981402357</v>
      </c>
      <c r="L21" s="14">
        <f t="shared" si="4"/>
        <v>5.0274049206150577E-2</v>
      </c>
      <c r="M21" s="14">
        <f t="shared" si="5"/>
        <v>7.0666808612501707E-3</v>
      </c>
      <c r="N21" s="14">
        <f t="shared" si="6"/>
        <v>3.7039312933829158E-2</v>
      </c>
      <c r="O21" s="14">
        <f t="shared" si="7"/>
        <v>6.35324525939681E-2</v>
      </c>
      <c r="P21" s="14">
        <f t="shared" si="8"/>
        <v>0.11475638467881347</v>
      </c>
      <c r="Q21" s="10">
        <v>184590.022</v>
      </c>
      <c r="R21" s="23">
        <f t="shared" si="9"/>
        <v>0.25407938355411214</v>
      </c>
      <c r="S21" s="11">
        <v>235597.8</v>
      </c>
      <c r="T21" s="22">
        <f t="shared" si="10"/>
        <v>0.19907027569866953</v>
      </c>
      <c r="U21" s="24">
        <f>S21+dep_pre_eng_nomi!D44</f>
        <v>337343.57999999996</v>
      </c>
      <c r="V21" s="22">
        <f t="shared" si="11"/>
        <v>0.13902893601828736</v>
      </c>
    </row>
    <row r="22" spans="1:22" x14ac:dyDescent="0.2">
      <c r="A22" s="9">
        <v>1979</v>
      </c>
      <c r="B22" s="11">
        <f>dep_pre_eng_nomi!K23</f>
        <v>9908.7970000000005</v>
      </c>
      <c r="C22" s="12">
        <f>dep_pre_eng_nomi!B23-dep_pre_eng_nomi!K23</f>
        <v>29433.599999999999</v>
      </c>
      <c r="D22" s="13">
        <f>dep_pre_eng_nomi!Q23</f>
        <v>3058.181</v>
      </c>
      <c r="E22" s="13">
        <f>dep_pre_eng_nomi!R23</f>
        <v>396.995</v>
      </c>
      <c r="F22" s="13">
        <f>dep_pre_eng_nomi!S23</f>
        <v>1847.7850000000001</v>
      </c>
      <c r="G22" s="13">
        <f>dep_pre_eng_nomi!T23</f>
        <v>3414.2860000000001</v>
      </c>
      <c r="H22" s="13">
        <f>dep_pre_eng_nomi!Y23</f>
        <v>6773.2790000000005</v>
      </c>
      <c r="I22" s="13">
        <f t="shared" si="1"/>
        <v>54832.923000000003</v>
      </c>
      <c r="J22" s="14">
        <f t="shared" si="2"/>
        <v>0.18070889636870169</v>
      </c>
      <c r="K22" s="14">
        <f t="shared" si="3"/>
        <v>0.53678699565222876</v>
      </c>
      <c r="L22" s="14">
        <f t="shared" si="4"/>
        <v>5.5772715235334072E-2</v>
      </c>
      <c r="M22" s="14">
        <f t="shared" si="5"/>
        <v>7.2400845747362403E-3</v>
      </c>
      <c r="N22" s="14">
        <f t="shared" si="6"/>
        <v>3.369845886202346E-2</v>
      </c>
      <c r="O22" s="14">
        <f t="shared" si="7"/>
        <v>6.226707994392347E-2</v>
      </c>
      <c r="P22" s="14">
        <f t="shared" si="8"/>
        <v>0.12352576936305219</v>
      </c>
      <c r="Q22" s="10">
        <v>211776.00099999999</v>
      </c>
      <c r="R22" s="23">
        <f t="shared" si="9"/>
        <v>0.25891943724067207</v>
      </c>
      <c r="S22" s="11">
        <v>263596.79999999999</v>
      </c>
      <c r="T22" s="22">
        <f t="shared" si="10"/>
        <v>0.20801816638138249</v>
      </c>
      <c r="U22" s="24">
        <f>S22+dep_pre_eng_nomi!D45</f>
        <v>369743.04200000002</v>
      </c>
      <c r="V22" s="22">
        <f t="shared" si="11"/>
        <v>0.14830008078962037</v>
      </c>
    </row>
    <row r="23" spans="1:22" x14ac:dyDescent="0.2">
      <c r="A23" s="9">
        <v>1980</v>
      </c>
      <c r="B23" s="11">
        <f>dep_pre_eng_nomi!K24</f>
        <v>13140.49</v>
      </c>
      <c r="C23" s="12">
        <f>dep_pre_eng_nomi!B24-dep_pre_eng_nomi!K24</f>
        <v>34451.694000000003</v>
      </c>
      <c r="D23" s="13">
        <f>dep_pre_eng_nomi!Q24</f>
        <v>3656.663</v>
      </c>
      <c r="E23" s="13">
        <f>dep_pre_eng_nomi!R24</f>
        <v>458.61799999999999</v>
      </c>
      <c r="F23" s="13">
        <f>dep_pre_eng_nomi!S24</f>
        <v>2137.7170000000001</v>
      </c>
      <c r="G23" s="13">
        <f>dep_pre_eng_nomi!T24</f>
        <v>4167.665</v>
      </c>
      <c r="H23" s="13">
        <f>dep_pre_eng_nomi!Y24</f>
        <v>7498.4669999999996</v>
      </c>
      <c r="I23" s="13">
        <f t="shared" si="1"/>
        <v>65511.313999999998</v>
      </c>
      <c r="J23" s="14">
        <f t="shared" si="2"/>
        <v>0.20058352058088774</v>
      </c>
      <c r="K23" s="14">
        <f t="shared" si="3"/>
        <v>0.52588922273792282</v>
      </c>
      <c r="L23" s="14">
        <f t="shared" si="4"/>
        <v>5.5817274555048618E-2</v>
      </c>
      <c r="M23" s="14">
        <f t="shared" si="5"/>
        <v>7.0005922946378392E-3</v>
      </c>
      <c r="N23" s="14">
        <f t="shared" si="6"/>
        <v>3.263126427291628E-2</v>
      </c>
      <c r="O23" s="14">
        <f t="shared" si="7"/>
        <v>6.3617484454669929E-2</v>
      </c>
      <c r="P23" s="14">
        <f t="shared" si="8"/>
        <v>0.11446064110391679</v>
      </c>
      <c r="Q23" s="10">
        <v>242302.97500000001</v>
      </c>
      <c r="R23" s="23">
        <f t="shared" si="9"/>
        <v>0.27036941663634134</v>
      </c>
      <c r="S23" s="11">
        <v>299749.59999999998</v>
      </c>
      <c r="T23" s="22">
        <f t="shared" si="10"/>
        <v>0.21855346595958761</v>
      </c>
      <c r="U23" s="24">
        <f>S23+dep_pre_eng_nomi!D46</f>
        <v>411211.777</v>
      </c>
      <c r="V23" s="22">
        <f t="shared" si="11"/>
        <v>0.15931283505044166</v>
      </c>
    </row>
    <row r="24" spans="1:22" x14ac:dyDescent="0.2">
      <c r="A24" s="9">
        <v>1981</v>
      </c>
      <c r="B24" s="11">
        <f>dep_pre_eng_nomi!K25</f>
        <v>15006.108</v>
      </c>
      <c r="C24" s="12">
        <f>dep_pre_eng_nomi!B25-dep_pre_eng_nomi!K25</f>
        <v>40220.391000000003</v>
      </c>
      <c r="D24" s="13">
        <f>dep_pre_eng_nomi!Q25</f>
        <v>4324.9750000000004</v>
      </c>
      <c r="E24" s="13">
        <f>dep_pre_eng_nomi!R25</f>
        <v>509.92700000000002</v>
      </c>
      <c r="F24" s="13">
        <f>dep_pre_eng_nomi!S25</f>
        <v>2429.1480000000001</v>
      </c>
      <c r="G24" s="13">
        <f>dep_pre_eng_nomi!T25</f>
        <v>4641.6099999999997</v>
      </c>
      <c r="H24" s="13">
        <f>dep_pre_eng_nomi!Y25</f>
        <v>10362.985000000001</v>
      </c>
      <c r="I24" s="13">
        <f t="shared" si="1"/>
        <v>77495.144</v>
      </c>
      <c r="J24" s="14">
        <f t="shared" si="2"/>
        <v>0.19363933306582409</v>
      </c>
      <c r="K24" s="14">
        <f t="shared" si="3"/>
        <v>0.5190053069647822</v>
      </c>
      <c r="L24" s="14">
        <f t="shared" si="4"/>
        <v>5.5809625955401801E-2</v>
      </c>
      <c r="M24" s="14">
        <f t="shared" si="5"/>
        <v>6.5801155231094222E-3</v>
      </c>
      <c r="N24" s="14">
        <f t="shared" si="6"/>
        <v>3.1345809229027306E-2</v>
      </c>
      <c r="O24" s="14">
        <f t="shared" si="7"/>
        <v>5.9895494871265734E-2</v>
      </c>
      <c r="P24" s="14">
        <f t="shared" si="8"/>
        <v>0.13372431439058943</v>
      </c>
      <c r="Q24" s="10">
        <v>281002.864</v>
      </c>
      <c r="R24" s="23">
        <f t="shared" si="9"/>
        <v>0.27578061980179674</v>
      </c>
      <c r="S24" s="11">
        <v>346513.1</v>
      </c>
      <c r="T24" s="22">
        <f t="shared" si="10"/>
        <v>0.22364275405460862</v>
      </c>
      <c r="U24" s="24">
        <f>S24+dep_pre_eng_nomi!D47</f>
        <v>463029.03599999996</v>
      </c>
      <c r="V24" s="22">
        <f t="shared" si="11"/>
        <v>0.16736562499290003</v>
      </c>
    </row>
    <row r="25" spans="1:22" x14ac:dyDescent="0.2">
      <c r="A25" s="9">
        <v>1982</v>
      </c>
      <c r="B25" s="11">
        <f>dep_pre_eng_nomi!K26</f>
        <v>17221.650000000001</v>
      </c>
      <c r="C25" s="12">
        <f>dep_pre_eng_nomi!B26-dep_pre_eng_nomi!K26</f>
        <v>45308.042000000001</v>
      </c>
      <c r="D25" s="13">
        <f>dep_pre_eng_nomi!Q26</f>
        <v>4966.0119999999997</v>
      </c>
      <c r="E25" s="13">
        <f>dep_pre_eng_nomi!R26</f>
        <v>608.44799999999998</v>
      </c>
      <c r="F25" s="13">
        <f>dep_pre_eng_nomi!S26</f>
        <v>2747.5929999999998</v>
      </c>
      <c r="G25" s="13">
        <f>dep_pre_eng_nomi!T26</f>
        <v>5415.4549999999999</v>
      </c>
      <c r="H25" s="13">
        <f>dep_pre_eng_nomi!Y26</f>
        <v>12528.466</v>
      </c>
      <c r="I25" s="13">
        <f t="shared" si="1"/>
        <v>88795.665999999997</v>
      </c>
      <c r="J25" s="14">
        <f t="shared" si="2"/>
        <v>0.19394696583502175</v>
      </c>
      <c r="K25" s="14">
        <f t="shared" si="3"/>
        <v>0.51025060164535507</v>
      </c>
      <c r="L25" s="14">
        <f t="shared" si="4"/>
        <v>5.5926288114106826E-2</v>
      </c>
      <c r="M25" s="14">
        <f t="shared" si="5"/>
        <v>6.8522263237487287E-3</v>
      </c>
      <c r="N25" s="14">
        <f t="shared" si="6"/>
        <v>3.0942872819941458E-2</v>
      </c>
      <c r="O25" s="14">
        <f t="shared" si="7"/>
        <v>6.0987830194325028E-2</v>
      </c>
      <c r="P25" s="14">
        <f t="shared" si="8"/>
        <v>0.14109321506750117</v>
      </c>
      <c r="Q25" s="10">
        <v>324504.06699999998</v>
      </c>
      <c r="R25" s="23">
        <f t="shared" si="9"/>
        <v>0.27363498652237234</v>
      </c>
      <c r="S25" s="11">
        <v>395889.7</v>
      </c>
      <c r="T25" s="22">
        <f t="shared" si="10"/>
        <v>0.22429395359363982</v>
      </c>
      <c r="U25" s="24">
        <f>S25+dep_pre_eng_nomi!D48</f>
        <v>518229.38800000004</v>
      </c>
      <c r="V25" s="22">
        <f t="shared" si="11"/>
        <v>0.1713443275432307</v>
      </c>
    </row>
    <row r="26" spans="1:22" x14ac:dyDescent="0.2">
      <c r="A26" s="9">
        <v>1983</v>
      </c>
      <c r="B26" s="11">
        <f>dep_pre_eng_nomi!K27</f>
        <v>19803.855</v>
      </c>
      <c r="C26" s="12">
        <f>dep_pre_eng_nomi!B27-dep_pre_eng_nomi!K27</f>
        <v>51496.642000000007</v>
      </c>
      <c r="D26" s="13">
        <f>dep_pre_eng_nomi!Q27</f>
        <v>5637.61</v>
      </c>
      <c r="E26" s="13">
        <f>dep_pre_eng_nomi!R27</f>
        <v>671.726</v>
      </c>
      <c r="F26" s="13">
        <f>dep_pre_eng_nomi!S27</f>
        <v>3116.5929999999998</v>
      </c>
      <c r="G26" s="13">
        <f>dep_pre_eng_nomi!T27</f>
        <v>6150.8590000000004</v>
      </c>
      <c r="H26" s="13">
        <f>dep_pre_eng_nomi!Y27</f>
        <v>14632.200999999999</v>
      </c>
      <c r="I26" s="13">
        <f t="shared" si="1"/>
        <v>101509.48599999999</v>
      </c>
      <c r="J26" s="14">
        <f t="shared" si="2"/>
        <v>0.19509363883489669</v>
      </c>
      <c r="K26" s="14">
        <f t="shared" si="3"/>
        <v>0.50730866669938623</v>
      </c>
      <c r="L26" s="14">
        <f t="shared" si="4"/>
        <v>5.5537765209450474E-2</v>
      </c>
      <c r="M26" s="14">
        <f t="shared" si="5"/>
        <v>6.6173717006113107E-3</v>
      </c>
      <c r="N26" s="14">
        <f t="shared" si="6"/>
        <v>3.0702480357353009E-2</v>
      </c>
      <c r="O26" s="14">
        <f t="shared" si="7"/>
        <v>6.059393306355626E-2</v>
      </c>
      <c r="P26" s="14">
        <f t="shared" si="8"/>
        <v>0.14414614413474619</v>
      </c>
      <c r="Q26" s="10">
        <v>358620.98599999998</v>
      </c>
      <c r="R26" s="23">
        <f t="shared" si="9"/>
        <v>0.28305506359853688</v>
      </c>
      <c r="S26" s="11">
        <v>433335.4</v>
      </c>
      <c r="T26" s="22">
        <f t="shared" si="10"/>
        <v>0.23425154280033431</v>
      </c>
      <c r="U26" s="24">
        <f>S26+dep_pre_eng_nomi!D49</f>
        <v>562745.36400000006</v>
      </c>
      <c r="V26" s="22">
        <f t="shared" si="11"/>
        <v>0.18038262506237188</v>
      </c>
    </row>
    <row r="27" spans="1:22" x14ac:dyDescent="0.2">
      <c r="A27" s="9">
        <v>1984</v>
      </c>
      <c r="B27" s="11">
        <f>dep_pre_eng_nomi!K28</f>
        <v>22371.074000000001</v>
      </c>
      <c r="C27" s="12">
        <f>dep_pre_eng_nomi!B28-dep_pre_eng_nomi!K28</f>
        <v>57665.101000000002</v>
      </c>
      <c r="D27" s="13">
        <f>dep_pre_eng_nomi!Q28</f>
        <v>6672.7610000000004</v>
      </c>
      <c r="E27" s="13">
        <f>dep_pre_eng_nomi!R28</f>
        <v>734.22299999999996</v>
      </c>
      <c r="F27" s="13">
        <f>dep_pre_eng_nomi!S28</f>
        <v>3338.0610000000001</v>
      </c>
      <c r="G27" s="13">
        <f>dep_pre_eng_nomi!T28</f>
        <v>7222.4719999999998</v>
      </c>
      <c r="H27" s="13">
        <f>dep_pre_eng_nomi!Y28</f>
        <v>16723.343000000001</v>
      </c>
      <c r="I27" s="13">
        <f t="shared" si="1"/>
        <v>114727.035</v>
      </c>
      <c r="J27" s="14">
        <f t="shared" si="2"/>
        <v>0.19499391751909217</v>
      </c>
      <c r="K27" s="14">
        <f t="shared" si="3"/>
        <v>0.50262870473380572</v>
      </c>
      <c r="L27" s="14">
        <f t="shared" si="4"/>
        <v>5.8162062673370755E-2</v>
      </c>
      <c r="M27" s="14">
        <f t="shared" si="5"/>
        <v>6.3997383005670802E-3</v>
      </c>
      <c r="N27" s="14">
        <f t="shared" si="6"/>
        <v>2.9095679148336745E-2</v>
      </c>
      <c r="O27" s="14">
        <f t="shared" si="7"/>
        <v>6.2953531397372905E-2</v>
      </c>
      <c r="P27" s="14">
        <f t="shared" si="8"/>
        <v>0.14576636622745459</v>
      </c>
      <c r="Q27" s="10">
        <v>389721.72899999999</v>
      </c>
      <c r="R27" s="23">
        <f t="shared" si="9"/>
        <v>0.29438193065185753</v>
      </c>
      <c r="S27" s="11">
        <v>462165.4</v>
      </c>
      <c r="T27" s="22">
        <f t="shared" si="10"/>
        <v>0.24823804421533935</v>
      </c>
      <c r="U27" s="24">
        <f>S27+dep_pre_eng_nomi!D50</f>
        <v>598213.39199999999</v>
      </c>
      <c r="V27" s="22">
        <f t="shared" si="11"/>
        <v>0.19178279278642429</v>
      </c>
    </row>
    <row r="28" spans="1:22" x14ac:dyDescent="0.2">
      <c r="A28" s="9">
        <v>1985</v>
      </c>
      <c r="B28" s="11">
        <f>dep_pre_eng_nomi!K29</f>
        <v>25052.558000000001</v>
      </c>
      <c r="C28" s="12">
        <f>dep_pre_eng_nomi!B29-dep_pre_eng_nomi!K29</f>
        <v>62801.781000000003</v>
      </c>
      <c r="D28" s="13">
        <f>dep_pre_eng_nomi!Q29</f>
        <v>7516.1869999999999</v>
      </c>
      <c r="E28" s="13">
        <f>dep_pre_eng_nomi!R29</f>
        <v>890.16899999999998</v>
      </c>
      <c r="F28" s="13">
        <f>dep_pre_eng_nomi!S29</f>
        <v>3556.203</v>
      </c>
      <c r="G28" s="13">
        <f>dep_pre_eng_nomi!T29</f>
        <v>7907.5029999999997</v>
      </c>
      <c r="H28" s="13">
        <f>dep_pre_eng_nomi!Y29</f>
        <v>18981.809000000001</v>
      </c>
      <c r="I28" s="13">
        <f t="shared" si="1"/>
        <v>126706.20999999999</v>
      </c>
      <c r="J28" s="14">
        <f t="shared" si="2"/>
        <v>0.19772162706153079</v>
      </c>
      <c r="K28" s="14">
        <f t="shared" si="3"/>
        <v>0.49564880048104987</v>
      </c>
      <c r="L28" s="14">
        <f t="shared" si="4"/>
        <v>5.9319799716209654E-2</v>
      </c>
      <c r="M28" s="14">
        <f t="shared" si="5"/>
        <v>7.0254567633267545E-3</v>
      </c>
      <c r="N28" s="14">
        <f t="shared" si="6"/>
        <v>2.8066524916182091E-2</v>
      </c>
      <c r="O28" s="14">
        <f t="shared" si="7"/>
        <v>6.2408172417121467E-2</v>
      </c>
      <c r="P28" s="14">
        <f t="shared" si="8"/>
        <v>0.14980961864457948</v>
      </c>
      <c r="Q28" s="10">
        <v>421869.56599999999</v>
      </c>
      <c r="R28" s="23">
        <f t="shared" si="9"/>
        <v>0.30034451454125516</v>
      </c>
      <c r="S28" s="11">
        <v>494454.5</v>
      </c>
      <c r="T28" s="22">
        <f t="shared" si="10"/>
        <v>0.25625453909308132</v>
      </c>
      <c r="U28" s="24">
        <f>S28+dep_pre_eng_nomi!D51</f>
        <v>636450.60899999994</v>
      </c>
      <c r="V28" s="22">
        <f t="shared" si="11"/>
        <v>0.19908254970339734</v>
      </c>
    </row>
    <row r="29" spans="1:22" x14ac:dyDescent="0.2">
      <c r="A29" s="9">
        <v>1986</v>
      </c>
      <c r="B29" s="11">
        <f>dep_pre_eng_nomi!K30</f>
        <v>23227.219000000001</v>
      </c>
      <c r="C29" s="12">
        <f>dep_pre_eng_nomi!B30-dep_pre_eng_nomi!K30</f>
        <v>67991.688999999998</v>
      </c>
      <c r="D29" s="13">
        <f>dep_pre_eng_nomi!Q30</f>
        <v>7780.7960000000003</v>
      </c>
      <c r="E29" s="13">
        <f>dep_pre_eng_nomi!R30</f>
        <v>1056.3979999999999</v>
      </c>
      <c r="F29" s="13">
        <f>dep_pre_eng_nomi!S30</f>
        <v>3749.22</v>
      </c>
      <c r="G29" s="13">
        <f>dep_pre_eng_nomi!T30</f>
        <v>8545.6949999999997</v>
      </c>
      <c r="H29" s="13">
        <f>dep_pre_eng_nomi!Y30</f>
        <v>20611.572</v>
      </c>
      <c r="I29" s="13">
        <f t="shared" si="1"/>
        <v>132962.58899999998</v>
      </c>
      <c r="J29" s="14">
        <f t="shared" si="2"/>
        <v>0.17468988212917549</v>
      </c>
      <c r="K29" s="14">
        <f t="shared" si="3"/>
        <v>0.51135954490176183</v>
      </c>
      <c r="L29" s="14">
        <f t="shared" si="4"/>
        <v>5.8518686034310007E-2</v>
      </c>
      <c r="M29" s="14">
        <f t="shared" si="5"/>
        <v>7.9450769419058178E-3</v>
      </c>
      <c r="N29" s="14">
        <f t="shared" si="6"/>
        <v>2.8197555629726798E-2</v>
      </c>
      <c r="O29" s="14">
        <f t="shared" si="7"/>
        <v>6.42714244982098E-2</v>
      </c>
      <c r="P29" s="14">
        <f t="shared" si="8"/>
        <v>0.15501782986491036</v>
      </c>
      <c r="Q29" s="10">
        <v>449572.87599999999</v>
      </c>
      <c r="R29" s="23">
        <f t="shared" si="9"/>
        <v>0.29575313836326722</v>
      </c>
      <c r="S29" s="11">
        <v>520851.3</v>
      </c>
      <c r="T29" s="22">
        <f t="shared" si="10"/>
        <v>0.25527936476303309</v>
      </c>
      <c r="U29" s="24">
        <f>S29+dep_pre_eng_nomi!D52</f>
        <v>667096.12899999996</v>
      </c>
      <c r="V29" s="22">
        <f t="shared" si="11"/>
        <v>0.19931548575962429</v>
      </c>
    </row>
    <row r="30" spans="1:22" x14ac:dyDescent="0.2">
      <c r="A30" s="9">
        <v>1987</v>
      </c>
      <c r="B30" s="11">
        <f>dep_pre_eng_nomi!K31</f>
        <v>21958.338</v>
      </c>
      <c r="C30" s="12">
        <f>dep_pre_eng_nomi!B31-dep_pre_eng_nomi!K31</f>
        <v>74128.923999999999</v>
      </c>
      <c r="D30" s="13">
        <f>dep_pre_eng_nomi!Q31</f>
        <v>8458.5220000000008</v>
      </c>
      <c r="E30" s="13">
        <f>dep_pre_eng_nomi!R31</f>
        <v>1187.7059999999999</v>
      </c>
      <c r="F30" s="13">
        <f>dep_pre_eng_nomi!S31</f>
        <v>4002.4470000000001</v>
      </c>
      <c r="G30" s="13">
        <f>dep_pre_eng_nomi!T31</f>
        <v>9149.1849999999995</v>
      </c>
      <c r="H30" s="13">
        <f>dep_pre_eng_nomi!Y31</f>
        <v>22093.425999999999</v>
      </c>
      <c r="I30" s="13">
        <f t="shared" si="1"/>
        <v>140978.54800000001</v>
      </c>
      <c r="J30" s="14">
        <f t="shared" si="2"/>
        <v>0.15575659071194292</v>
      </c>
      <c r="K30" s="14">
        <f t="shared" si="3"/>
        <v>0.52581704842072852</v>
      </c>
      <c r="L30" s="14">
        <f t="shared" si="4"/>
        <v>5.9998646035140046E-2</v>
      </c>
      <c r="M30" s="14">
        <f t="shared" si="5"/>
        <v>8.4247285622490575E-3</v>
      </c>
      <c r="N30" s="14">
        <f t="shared" si="6"/>
        <v>2.8390468314370778E-2</v>
      </c>
      <c r="O30" s="14">
        <f t="shared" si="7"/>
        <v>6.4897710536783212E-2</v>
      </c>
      <c r="P30" s="14">
        <f t="shared" si="8"/>
        <v>0.15671480741878543</v>
      </c>
      <c r="Q30" s="10">
        <v>478272.73599999998</v>
      </c>
      <c r="R30" s="23">
        <f t="shared" si="9"/>
        <v>0.29476601400921171</v>
      </c>
      <c r="S30" s="11">
        <v>543642.9</v>
      </c>
      <c r="T30" s="22">
        <f t="shared" si="10"/>
        <v>0.25932197035958715</v>
      </c>
      <c r="U30" s="24">
        <f>S30+dep_pre_eng_nomi!D53</f>
        <v>693812.9</v>
      </c>
      <c r="V30" s="22">
        <f t="shared" si="11"/>
        <v>0.20319389852797493</v>
      </c>
    </row>
    <row r="31" spans="1:22" x14ac:dyDescent="0.2">
      <c r="A31" s="9">
        <v>1988</v>
      </c>
      <c r="B31" s="11">
        <f>dep_pre_eng_nomi!K32</f>
        <v>20536.802</v>
      </c>
      <c r="C31" s="12">
        <f>dep_pre_eng_nomi!B32-dep_pre_eng_nomi!K32</f>
        <v>81547.040000000008</v>
      </c>
      <c r="D31" s="13">
        <f>dep_pre_eng_nomi!Q32</f>
        <v>8607.3790000000008</v>
      </c>
      <c r="E31" s="13">
        <f>dep_pre_eng_nomi!R32</f>
        <v>1292.557</v>
      </c>
      <c r="F31" s="13">
        <f>dep_pre_eng_nomi!S32</f>
        <v>4338.3370000000004</v>
      </c>
      <c r="G31" s="13">
        <f>dep_pre_eng_nomi!T32</f>
        <v>9731.9470000000001</v>
      </c>
      <c r="H31" s="13">
        <f>dep_pre_eng_nomi!Y32</f>
        <v>24056.701000000001</v>
      </c>
      <c r="I31" s="13">
        <f t="shared" si="1"/>
        <v>150110.76300000001</v>
      </c>
      <c r="J31" s="14">
        <f t="shared" si="2"/>
        <v>0.13681098936256822</v>
      </c>
      <c r="K31" s="14">
        <f t="shared" si="3"/>
        <v>0.54324578977724602</v>
      </c>
      <c r="L31" s="14">
        <f t="shared" si="4"/>
        <v>5.7340185526869918E-2</v>
      </c>
      <c r="M31" s="14">
        <f t="shared" si="5"/>
        <v>8.6106883621662762E-3</v>
      </c>
      <c r="N31" s="14">
        <f t="shared" si="6"/>
        <v>2.8900905659909278E-2</v>
      </c>
      <c r="O31" s="14">
        <f t="shared" si="7"/>
        <v>6.4831773588413508E-2</v>
      </c>
      <c r="P31" s="14">
        <f t="shared" si="8"/>
        <v>0.16025966772282677</v>
      </c>
      <c r="Q31" s="10">
        <v>507385.72</v>
      </c>
      <c r="R31" s="23">
        <f t="shared" si="9"/>
        <v>0.29585137516286431</v>
      </c>
      <c r="S31" s="11">
        <v>577509.80000000005</v>
      </c>
      <c r="T31" s="22">
        <f t="shared" si="10"/>
        <v>0.25992764624946624</v>
      </c>
      <c r="U31" s="24">
        <f>S31+dep_pre_eng_nomi!D54</f>
        <v>731082.76900000009</v>
      </c>
      <c r="V31" s="22">
        <f t="shared" si="11"/>
        <v>0.2053266324486441</v>
      </c>
    </row>
    <row r="32" spans="1:22" x14ac:dyDescent="0.2">
      <c r="A32" s="9">
        <v>1989</v>
      </c>
      <c r="B32" s="11">
        <f>dep_pre_eng_nomi!K33</f>
        <v>20879.554</v>
      </c>
      <c r="C32" s="12">
        <f>dep_pre_eng_nomi!B33-dep_pre_eng_nomi!K33</f>
        <v>88861.39899999999</v>
      </c>
      <c r="D32" s="13">
        <f>dep_pre_eng_nomi!Q33</f>
        <v>8980.8469999999998</v>
      </c>
      <c r="E32" s="13">
        <f>dep_pre_eng_nomi!R33</f>
        <v>1401.3689999999999</v>
      </c>
      <c r="F32" s="13">
        <f>dep_pre_eng_nomi!S33</f>
        <v>4346.5320000000002</v>
      </c>
      <c r="G32" s="13">
        <f>dep_pre_eng_nomi!T33</f>
        <v>10223.003000000001</v>
      </c>
      <c r="H32" s="13">
        <f>dep_pre_eng_nomi!Y33</f>
        <v>27505.348000000002</v>
      </c>
      <c r="I32" s="13">
        <f t="shared" si="1"/>
        <v>162198.052</v>
      </c>
      <c r="J32" s="14">
        <f t="shared" si="2"/>
        <v>0.12872875933183217</v>
      </c>
      <c r="K32" s="14">
        <f t="shared" si="3"/>
        <v>0.54785737500719178</v>
      </c>
      <c r="L32" s="14">
        <f t="shared" si="4"/>
        <v>5.5369635388716011E-2</v>
      </c>
      <c r="M32" s="14">
        <f t="shared" si="5"/>
        <v>8.6398633196901765E-3</v>
      </c>
      <c r="N32" s="14">
        <f t="shared" si="6"/>
        <v>2.6797683118907002E-2</v>
      </c>
      <c r="O32" s="14">
        <f t="shared" si="7"/>
        <v>6.3027902455943183E-2</v>
      </c>
      <c r="P32" s="14">
        <f t="shared" si="8"/>
        <v>0.16957878137771965</v>
      </c>
      <c r="Q32" s="10">
        <v>543716.43599999999</v>
      </c>
      <c r="R32" s="23">
        <f t="shared" si="9"/>
        <v>0.29831368202376723</v>
      </c>
      <c r="S32" s="11">
        <v>621289.6</v>
      </c>
      <c r="T32" s="22">
        <f t="shared" si="10"/>
        <v>0.26106674246599332</v>
      </c>
      <c r="U32" s="24">
        <f>S32+dep_pre_eng_nomi!D55</f>
        <v>777866.46</v>
      </c>
      <c r="V32" s="22">
        <f t="shared" si="11"/>
        <v>0.20851657751126074</v>
      </c>
    </row>
    <row r="33" spans="1:22" x14ac:dyDescent="0.2">
      <c r="A33" s="9">
        <v>1990</v>
      </c>
      <c r="B33" s="11">
        <f>dep_pre_eng_nomi!K34</f>
        <v>22307.297999999999</v>
      </c>
      <c r="C33" s="12">
        <f>dep_pre_eng_nomi!B34-dep_pre_eng_nomi!K34</f>
        <v>95320.532000000007</v>
      </c>
      <c r="D33" s="13">
        <f>dep_pre_eng_nomi!Q34</f>
        <v>9552.0190000000002</v>
      </c>
      <c r="E33" s="13">
        <f>dep_pre_eng_nomi!R34</f>
        <v>1542.11</v>
      </c>
      <c r="F33" s="13">
        <f>dep_pre_eng_nomi!S34</f>
        <v>4754.3739999999998</v>
      </c>
      <c r="G33" s="13">
        <f>dep_pre_eng_nomi!T34</f>
        <v>10847.159</v>
      </c>
      <c r="H33" s="13">
        <f>dep_pre_eng_nomi!Y34</f>
        <v>28451.931</v>
      </c>
      <c r="I33" s="13">
        <f t="shared" si="1"/>
        <v>172775.42300000004</v>
      </c>
      <c r="J33" s="14">
        <f t="shared" si="2"/>
        <v>0.12911152299711048</v>
      </c>
      <c r="K33" s="14">
        <f t="shared" si="3"/>
        <v>0.55170191653936795</v>
      </c>
      <c r="L33" s="14">
        <f t="shared" si="4"/>
        <v>5.5285750913774342E-2</v>
      </c>
      <c r="M33" s="14">
        <f t="shared" si="5"/>
        <v>8.9255171437201426E-3</v>
      </c>
      <c r="N33" s="14">
        <f t="shared" si="6"/>
        <v>2.7517652206818784E-2</v>
      </c>
      <c r="O33" s="14">
        <f t="shared" si="7"/>
        <v>6.2781840215781134E-2</v>
      </c>
      <c r="P33" s="14">
        <f t="shared" si="8"/>
        <v>0.16467579998342702</v>
      </c>
      <c r="Q33" s="10">
        <v>573408.95700000005</v>
      </c>
      <c r="R33" s="23">
        <f t="shared" si="9"/>
        <v>0.30131273830101685</v>
      </c>
      <c r="S33" s="11">
        <v>662852.9</v>
      </c>
      <c r="T33" s="22">
        <f t="shared" si="10"/>
        <v>0.26065424621360189</v>
      </c>
      <c r="U33" s="24">
        <f>S33+dep_pre_eng_nomi!D56</f>
        <v>823591.56200000003</v>
      </c>
      <c r="V33" s="22">
        <f t="shared" si="11"/>
        <v>0.20978289600300692</v>
      </c>
    </row>
    <row r="34" spans="1:22" x14ac:dyDescent="0.2">
      <c r="A34" s="9">
        <v>1991</v>
      </c>
      <c r="B34" s="11">
        <f>dep_pre_eng_nomi!K35</f>
        <v>25193.647000000001</v>
      </c>
      <c r="C34" s="12">
        <f>dep_pre_eng_nomi!B35-dep_pre_eng_nomi!K35</f>
        <v>102599.932</v>
      </c>
      <c r="D34" s="13">
        <f>dep_pre_eng_nomi!Q35</f>
        <v>10053.481</v>
      </c>
      <c r="E34" s="13">
        <f>dep_pre_eng_nomi!R35</f>
        <v>1685.82</v>
      </c>
      <c r="F34" s="13">
        <f>dep_pre_eng_nomi!S35</f>
        <v>4979.5720000000001</v>
      </c>
      <c r="G34" s="13">
        <f>dep_pre_eng_nomi!T35</f>
        <v>11001.707</v>
      </c>
      <c r="H34" s="13">
        <f>dep_pre_eng_nomi!Y35</f>
        <v>26115.503000000001</v>
      </c>
      <c r="I34" s="13">
        <f t="shared" si="1"/>
        <v>181629.66199999998</v>
      </c>
      <c r="J34" s="14">
        <f t="shared" si="2"/>
        <v>0.13870888005066045</v>
      </c>
      <c r="K34" s="14">
        <f t="shared" si="3"/>
        <v>0.56488533244090944</v>
      </c>
      <c r="L34" s="14">
        <f t="shared" si="4"/>
        <v>5.535153723955067E-2</v>
      </c>
      <c r="M34" s="14">
        <f t="shared" si="5"/>
        <v>9.2816337454837087E-3</v>
      </c>
      <c r="N34" s="14">
        <f t="shared" si="6"/>
        <v>2.7416072601621648E-2</v>
      </c>
      <c r="O34" s="14">
        <f t="shared" si="7"/>
        <v>6.0572193323797527E-2</v>
      </c>
      <c r="P34" s="14">
        <f t="shared" si="8"/>
        <v>0.14378435059797667</v>
      </c>
      <c r="Q34" s="10">
        <v>592510.87699999998</v>
      </c>
      <c r="R34" s="23">
        <f t="shared" si="9"/>
        <v>0.30654232529810588</v>
      </c>
      <c r="S34" s="11">
        <v>691253.8</v>
      </c>
      <c r="T34" s="22">
        <f t="shared" si="10"/>
        <v>0.26275394363112359</v>
      </c>
      <c r="U34" s="24">
        <f>S34+dep_pre_eng_nomi!D57</f>
        <v>855471.31600000011</v>
      </c>
      <c r="V34" s="22">
        <f t="shared" si="11"/>
        <v>0.21231531508182089</v>
      </c>
    </row>
    <row r="35" spans="1:22" x14ac:dyDescent="0.2">
      <c r="A35" s="9">
        <v>1992</v>
      </c>
      <c r="B35" s="11">
        <f>dep_pre_eng_nomi!K36</f>
        <v>25363.263999999999</v>
      </c>
      <c r="C35" s="12">
        <f>dep_pre_eng_nomi!B36-dep_pre_eng_nomi!K36</f>
        <v>110651.21400000001</v>
      </c>
      <c r="D35" s="13">
        <f>dep_pre_eng_nomi!Q36</f>
        <v>10463.891</v>
      </c>
      <c r="E35" s="13">
        <f>dep_pre_eng_nomi!R36</f>
        <v>1894.9749999999999</v>
      </c>
      <c r="F35" s="13">
        <f>dep_pre_eng_nomi!S36</f>
        <v>5137.7060000000001</v>
      </c>
      <c r="G35" s="13">
        <f>dep_pre_eng_nomi!T36</f>
        <v>11614.199000000001</v>
      </c>
      <c r="H35" s="13">
        <f>dep_pre_eng_nomi!Y36</f>
        <v>27047.414000000001</v>
      </c>
      <c r="I35" s="13">
        <f t="shared" si="1"/>
        <v>192172.663</v>
      </c>
      <c r="J35" s="14">
        <f t="shared" si="2"/>
        <v>0.13198164402811027</v>
      </c>
      <c r="K35" s="14">
        <f t="shared" si="3"/>
        <v>0.57579060555558836</v>
      </c>
      <c r="L35" s="14">
        <f t="shared" si="4"/>
        <v>5.4450465725190057E-2</v>
      </c>
      <c r="M35" s="14">
        <f t="shared" si="5"/>
        <v>9.8607937800185442E-3</v>
      </c>
      <c r="N35" s="14">
        <f t="shared" si="6"/>
        <v>2.6734843134270353E-2</v>
      </c>
      <c r="O35" s="14">
        <f t="shared" si="7"/>
        <v>6.0436270272218692E-2</v>
      </c>
      <c r="P35" s="14">
        <f t="shared" si="8"/>
        <v>0.14074537750460378</v>
      </c>
      <c r="Q35" s="10">
        <v>613680.98</v>
      </c>
      <c r="R35" s="23">
        <f t="shared" si="9"/>
        <v>0.31314749725500701</v>
      </c>
      <c r="S35" s="11">
        <v>723532.5</v>
      </c>
      <c r="T35" s="22">
        <f t="shared" si="10"/>
        <v>0.26560335990435813</v>
      </c>
      <c r="U35" s="24">
        <f>S35+dep_pre_eng_nomi!D58</f>
        <v>890985.42200000002</v>
      </c>
      <c r="V35" s="22">
        <f t="shared" si="11"/>
        <v>0.21568553003777427</v>
      </c>
    </row>
    <row r="36" spans="1:22" x14ac:dyDescent="0.2">
      <c r="A36" s="9">
        <v>1993</v>
      </c>
      <c r="B36" s="11">
        <f>dep_pre_eng_nomi!K37</f>
        <v>25669.667000000001</v>
      </c>
      <c r="C36" s="12">
        <f>dep_pre_eng_nomi!B37-dep_pre_eng_nomi!K37</f>
        <v>117381.113</v>
      </c>
      <c r="D36" s="13">
        <f>dep_pre_eng_nomi!Q37</f>
        <v>10902.132</v>
      </c>
      <c r="E36" s="13">
        <f>dep_pre_eng_nomi!R37</f>
        <v>2020.2860000000001</v>
      </c>
      <c r="F36" s="13">
        <f>dep_pre_eng_nomi!S37</f>
        <v>5269.7669999999998</v>
      </c>
      <c r="G36" s="13">
        <f>dep_pre_eng_nomi!T37</f>
        <v>11977.67</v>
      </c>
      <c r="H36" s="13">
        <f>dep_pre_eng_nomi!Y37</f>
        <v>25288.478999999999</v>
      </c>
      <c r="I36" s="13">
        <f t="shared" si="1"/>
        <v>198509.114</v>
      </c>
      <c r="J36" s="14">
        <f t="shared" si="2"/>
        <v>0.1293122843719911</v>
      </c>
      <c r="K36" s="14">
        <f t="shared" si="3"/>
        <v>0.59131346986919697</v>
      </c>
      <c r="L36" s="14">
        <f t="shared" si="4"/>
        <v>5.4920057725913782E-2</v>
      </c>
      <c r="M36" s="14">
        <f t="shared" si="5"/>
        <v>1.0177295940175321E-2</v>
      </c>
      <c r="N36" s="14">
        <f t="shared" si="6"/>
        <v>2.6546725708523386E-2</v>
      </c>
      <c r="O36" s="14">
        <f t="shared" si="7"/>
        <v>6.0338136414230331E-2</v>
      </c>
      <c r="P36" s="14">
        <f t="shared" si="8"/>
        <v>0.12739202996996904</v>
      </c>
      <c r="Q36" s="10">
        <v>622644.42599999998</v>
      </c>
      <c r="R36" s="23">
        <f t="shared" si="9"/>
        <v>0.31881617454646582</v>
      </c>
      <c r="S36" s="11">
        <v>739115.5</v>
      </c>
      <c r="T36" s="22">
        <f t="shared" si="10"/>
        <v>0.26857658106209381</v>
      </c>
      <c r="U36" s="24">
        <f>S36+dep_pre_eng_nomi!D59</f>
        <v>909217.04200000002</v>
      </c>
      <c r="V36" s="22">
        <f t="shared" si="11"/>
        <v>0.21832973297920211</v>
      </c>
    </row>
    <row r="37" spans="1:22" x14ac:dyDescent="0.2">
      <c r="A37" s="9">
        <v>1994</v>
      </c>
      <c r="B37" s="11">
        <f>dep_pre_eng_nomi!K38</f>
        <v>24793.736000000001</v>
      </c>
      <c r="C37" s="12">
        <f>dep_pre_eng_nomi!B38-dep_pre_eng_nomi!K38</f>
        <v>123523.32399999999</v>
      </c>
      <c r="D37" s="13">
        <f>dep_pre_eng_nomi!Q38</f>
        <v>11414.959000000001</v>
      </c>
      <c r="E37" s="13">
        <f>dep_pre_eng_nomi!R38</f>
        <v>2158.9580000000001</v>
      </c>
      <c r="F37" s="13">
        <f>dep_pre_eng_nomi!S38</f>
        <v>5320.8559999999998</v>
      </c>
      <c r="G37" s="13">
        <f>dep_pre_eng_nomi!T38</f>
        <v>12217.364</v>
      </c>
      <c r="H37" s="13">
        <f>dep_pre_eng_nomi!Y38</f>
        <v>21972.112000000001</v>
      </c>
      <c r="I37" s="13">
        <f t="shared" si="1"/>
        <v>201401.30900000001</v>
      </c>
      <c r="J37" s="14">
        <f t="shared" si="2"/>
        <v>0.12310613135091392</v>
      </c>
      <c r="K37" s="14">
        <f t="shared" si="3"/>
        <v>0.61331937023309013</v>
      </c>
      <c r="L37" s="14">
        <f t="shared" si="4"/>
        <v>5.6677680282604323E-2</v>
      </c>
      <c r="M37" s="14">
        <f t="shared" si="5"/>
        <v>1.0719682065224313E-2</v>
      </c>
      <c r="N37" s="14">
        <f t="shared" si="6"/>
        <v>2.641917287637887E-2</v>
      </c>
      <c r="O37" s="14">
        <f t="shared" si="7"/>
        <v>6.0661790435532867E-2</v>
      </c>
      <c r="P37" s="14">
        <f t="shared" si="8"/>
        <v>0.10909617275625552</v>
      </c>
      <c r="Q37" s="10">
        <v>638776.68700000003</v>
      </c>
      <c r="R37" s="23">
        <f t="shared" si="9"/>
        <v>0.31529220320465451</v>
      </c>
      <c r="S37" s="11">
        <v>751735.8</v>
      </c>
      <c r="T37" s="22">
        <f t="shared" si="10"/>
        <v>0.2679150161532815</v>
      </c>
      <c r="U37" s="24">
        <f>S37+dep_pre_eng_nomi!D60</f>
        <v>924077.554</v>
      </c>
      <c r="V37" s="22">
        <f t="shared" si="11"/>
        <v>0.21794849158299109</v>
      </c>
    </row>
    <row r="38" spans="1:22" x14ac:dyDescent="0.2">
      <c r="A38" s="9">
        <v>1995</v>
      </c>
      <c r="B38" s="11">
        <f>dep_pre_eng_nomi!K39</f>
        <v>25691.544000000002</v>
      </c>
      <c r="C38" s="12">
        <f>dep_pre_eng_nomi!B39-dep_pre_eng_nomi!K39</f>
        <v>129336.67300000001</v>
      </c>
      <c r="D38" s="13">
        <f>dep_pre_eng_nomi!Q39</f>
        <v>11774.397000000001</v>
      </c>
      <c r="E38" s="13">
        <f>dep_pre_eng_nomi!R39</f>
        <v>2373.4569999999999</v>
      </c>
      <c r="F38" s="13">
        <f>dep_pre_eng_nomi!S39</f>
        <v>5198.7529999999997</v>
      </c>
      <c r="G38" s="13">
        <f>dep_pre_eng_nomi!T39</f>
        <v>11759.376</v>
      </c>
      <c r="H38" s="13">
        <f>dep_pre_eng_nomi!Y39</f>
        <v>18534.66</v>
      </c>
      <c r="I38" s="13">
        <f t="shared" si="1"/>
        <v>204668.86</v>
      </c>
      <c r="J38" s="14">
        <f t="shared" si="2"/>
        <v>0.12552737138419592</v>
      </c>
      <c r="K38" s="14">
        <f t="shared" si="3"/>
        <v>0.63193136953027451</v>
      </c>
      <c r="L38" s="14">
        <f t="shared" si="4"/>
        <v>5.7529010519724408E-2</v>
      </c>
      <c r="M38" s="14">
        <f t="shared" si="5"/>
        <v>1.1596571163781339E-2</v>
      </c>
      <c r="N38" s="14">
        <f t="shared" si="6"/>
        <v>2.5400801079363027E-2</v>
      </c>
      <c r="O38" s="14">
        <f t="shared" si="7"/>
        <v>5.7455618798091711E-2</v>
      </c>
      <c r="P38" s="14">
        <f t="shared" si="8"/>
        <v>9.0559257524569212E-2</v>
      </c>
      <c r="Q38" s="10">
        <v>655094.78300000005</v>
      </c>
      <c r="R38" s="23">
        <f t="shared" si="9"/>
        <v>0.31242633174808837</v>
      </c>
      <c r="S38" s="11">
        <v>777037.4</v>
      </c>
      <c r="T38" s="22">
        <f t="shared" si="10"/>
        <v>0.26339640794638713</v>
      </c>
      <c r="U38" s="24">
        <f>S38+dep_pre_eng_nomi!D61</f>
        <v>777037.4</v>
      </c>
      <c r="V38" s="22">
        <f t="shared" si="11"/>
        <v>0.26339640794638713</v>
      </c>
    </row>
    <row r="39" spans="1:22" x14ac:dyDescent="0.2">
      <c r="A39" s="9">
        <v>1996</v>
      </c>
      <c r="B39" s="11">
        <f>dep_pre_eng_nomi!K40</f>
        <v>27894.71</v>
      </c>
      <c r="C39" s="12">
        <f>dep_pre_eng_nomi!B40-dep_pre_eng_nomi!K40</f>
        <v>134334.61800000002</v>
      </c>
      <c r="D39" s="13">
        <f>dep_pre_eng_nomi!Q40</f>
        <v>12134.655000000001</v>
      </c>
      <c r="E39" s="13">
        <f>dep_pre_eng_nomi!R40</f>
        <v>2567.7539999999999</v>
      </c>
      <c r="F39" s="13">
        <f>dep_pre_eng_nomi!S40</f>
        <v>5680.7240000000002</v>
      </c>
      <c r="G39" s="13">
        <f>dep_pre_eng_nomi!T40</f>
        <v>12524.956</v>
      </c>
      <c r="H39" s="13">
        <f>dep_pre_eng_nomi!Y40</f>
        <v>19481.036</v>
      </c>
      <c r="I39" s="13">
        <f t="shared" si="1"/>
        <v>214618.45299999998</v>
      </c>
      <c r="J39" s="14">
        <f t="shared" si="2"/>
        <v>0.12997349300621416</v>
      </c>
      <c r="K39" s="14">
        <f t="shared" si="3"/>
        <v>0.62592296292434846</v>
      </c>
      <c r="L39" s="14">
        <f t="shared" si="4"/>
        <v>5.6540594857423569E-2</v>
      </c>
      <c r="M39" s="14">
        <f t="shared" si="5"/>
        <v>1.1964274106476764E-2</v>
      </c>
      <c r="N39" s="14">
        <f t="shared" si="6"/>
        <v>2.6468944867476054E-2</v>
      </c>
      <c r="O39" s="14">
        <f t="shared" si="7"/>
        <v>5.8359175666968403E-2</v>
      </c>
      <c r="P39" s="14">
        <f t="shared" si="8"/>
        <v>9.0770554571092732E-2</v>
      </c>
      <c r="Q39" s="10">
        <v>677650.75</v>
      </c>
      <c r="R39" s="23">
        <f t="shared" si="9"/>
        <v>0.31670953363513576</v>
      </c>
      <c r="S39" s="11">
        <v>795981.3</v>
      </c>
      <c r="T39" s="22">
        <f t="shared" si="10"/>
        <v>0.26962750632458321</v>
      </c>
      <c r="U39" s="24">
        <f>S39+dep_pre_eng_nomi!D62</f>
        <v>795981.3</v>
      </c>
      <c r="V39" s="22">
        <f t="shared" si="11"/>
        <v>0.26962750632458321</v>
      </c>
    </row>
    <row r="40" spans="1:22" x14ac:dyDescent="0.2">
      <c r="A40" s="9">
        <v>1997</v>
      </c>
      <c r="B40" s="11">
        <f>dep_pre_eng_nomi!K41</f>
        <v>26816.002</v>
      </c>
      <c r="C40" s="12">
        <f>dep_pre_eng_nomi!B41-dep_pre_eng_nomi!K41</f>
        <v>139235.856</v>
      </c>
      <c r="D40" s="13">
        <f>dep_pre_eng_nomi!Q41</f>
        <v>12391.995000000001</v>
      </c>
      <c r="E40" s="13">
        <f>dep_pre_eng_nomi!R41</f>
        <v>2783.0230000000001</v>
      </c>
      <c r="F40" s="13">
        <f>dep_pre_eng_nomi!S41</f>
        <v>5933.2250000000004</v>
      </c>
      <c r="G40" s="13">
        <f>dep_pre_eng_nomi!T41</f>
        <v>13277.779</v>
      </c>
      <c r="H40" s="13">
        <f>dep_pre_eng_nomi!Y41</f>
        <v>17254.235000000001</v>
      </c>
      <c r="I40" s="13">
        <f t="shared" si="1"/>
        <v>217692.11499999999</v>
      </c>
      <c r="J40" s="14">
        <f t="shared" si="2"/>
        <v>0.12318315709321856</v>
      </c>
      <c r="K40" s="14">
        <f t="shared" si="3"/>
        <v>0.6395999046635199</v>
      </c>
      <c r="L40" s="14">
        <f t="shared" si="4"/>
        <v>5.6924409044397412E-2</v>
      </c>
      <c r="M40" s="14">
        <f t="shared" si="5"/>
        <v>1.2784215909703482E-2</v>
      </c>
      <c r="N40" s="14">
        <f t="shared" si="6"/>
        <v>2.7255121298261083E-2</v>
      </c>
      <c r="O40" s="14">
        <f t="shared" si="7"/>
        <v>6.0993385084250756E-2</v>
      </c>
      <c r="P40" s="14">
        <f t="shared" si="8"/>
        <v>7.9259806906648869E-2</v>
      </c>
      <c r="Q40" s="10">
        <v>687277.57</v>
      </c>
      <c r="R40" s="23">
        <f t="shared" si="9"/>
        <v>0.31674555449263392</v>
      </c>
      <c r="S40" s="11">
        <v>817156.8</v>
      </c>
      <c r="T40" s="22">
        <f t="shared" si="10"/>
        <v>0.26640188884189664</v>
      </c>
      <c r="U40" s="24">
        <f>S40+dep_pre_eng_nomi!D63</f>
        <v>817156.8</v>
      </c>
      <c r="V40" s="22">
        <f t="shared" si="11"/>
        <v>0.26640188884189664</v>
      </c>
    </row>
    <row r="41" spans="1:22" x14ac:dyDescent="0.2">
      <c r="A41" s="9">
        <v>1998</v>
      </c>
      <c r="B41" s="11">
        <f>dep_pre_eng_nomi!K42</f>
        <v>27519.236000000001</v>
      </c>
      <c r="C41" s="12">
        <f>dep_pre_eng_nomi!B42-dep_pre_eng_nomi!K42</f>
        <v>144959.75699999998</v>
      </c>
      <c r="D41" s="13">
        <f>dep_pre_eng_nomi!Q42</f>
        <v>13234.963</v>
      </c>
      <c r="E41" s="13">
        <f>dep_pre_eng_nomi!R42</f>
        <v>3083.386</v>
      </c>
      <c r="F41" s="13">
        <f>dep_pre_eng_nomi!S42</f>
        <v>6136.5219999999999</v>
      </c>
      <c r="G41" s="13">
        <f>dep_pre_eng_nomi!T42</f>
        <v>14070.751</v>
      </c>
      <c r="H41" s="13">
        <f>dep_pre_eng_nomi!Y42</f>
        <v>15951.01</v>
      </c>
      <c r="I41" s="13">
        <f t="shared" si="1"/>
        <v>224955.62499999997</v>
      </c>
      <c r="J41" s="14">
        <f t="shared" si="2"/>
        <v>0.12233184211330569</v>
      </c>
      <c r="K41" s="14">
        <f t="shared" si="3"/>
        <v>0.64439267522205768</v>
      </c>
      <c r="L41" s="14">
        <f t="shared" si="4"/>
        <v>5.8833661083158073E-2</v>
      </c>
      <c r="M41" s="14">
        <f t="shared" si="5"/>
        <v>1.3706641031981309E-2</v>
      </c>
      <c r="N41" s="14">
        <f t="shared" si="6"/>
        <v>2.7278811098855611E-2</v>
      </c>
      <c r="O41" s="14">
        <f t="shared" si="7"/>
        <v>6.2549007165302054E-2</v>
      </c>
      <c r="P41" s="14">
        <f t="shared" si="8"/>
        <v>7.0907362285339615E-2</v>
      </c>
      <c r="Q41" s="10">
        <v>716172.16700000002</v>
      </c>
      <c r="R41" s="23">
        <f t="shared" si="9"/>
        <v>0.31410830435134734</v>
      </c>
      <c r="S41" s="11">
        <v>845668.7</v>
      </c>
      <c r="T41" s="22">
        <f t="shared" si="10"/>
        <v>0.26600916529132507</v>
      </c>
      <c r="U41" s="24">
        <f>S41+dep_pre_eng_nomi!D64</f>
        <v>845668.7</v>
      </c>
      <c r="V41" s="22">
        <f t="shared" si="11"/>
        <v>0.26600916529132507</v>
      </c>
    </row>
    <row r="42" spans="1:22" x14ac:dyDescent="0.2">
      <c r="A42" s="9">
        <v>1999</v>
      </c>
      <c r="B42" s="11">
        <f>dep_pre_eng_nomi!K43</f>
        <v>26915.724999999999</v>
      </c>
      <c r="C42" s="12">
        <f>dep_pre_eng_nomi!B43-dep_pre_eng_nomi!K43</f>
        <v>150017.96099999998</v>
      </c>
      <c r="D42" s="13">
        <f>dep_pre_eng_nomi!Q43</f>
        <v>14919.526</v>
      </c>
      <c r="E42" s="13">
        <f>dep_pre_eng_nomi!R43</f>
        <v>3419.73</v>
      </c>
      <c r="F42" s="13">
        <f>dep_pre_eng_nomi!S43</f>
        <v>6484.6679999999997</v>
      </c>
      <c r="G42" s="13">
        <f>dep_pre_eng_nomi!T43</f>
        <v>15148</v>
      </c>
      <c r="H42" s="13">
        <f>dep_pre_eng_nomi!Y43</f>
        <v>10637</v>
      </c>
      <c r="I42" s="13">
        <f t="shared" si="1"/>
        <v>227542.61000000002</v>
      </c>
      <c r="J42" s="14">
        <f t="shared" si="2"/>
        <v>0.11828872403283058</v>
      </c>
      <c r="K42" s="14">
        <f t="shared" si="3"/>
        <v>0.65929612480053723</v>
      </c>
      <c r="L42" s="14">
        <f t="shared" si="4"/>
        <v>6.556805338569334E-2</v>
      </c>
      <c r="M42" s="14">
        <f t="shared" si="5"/>
        <v>1.5028965344117306E-2</v>
      </c>
      <c r="N42" s="14">
        <f t="shared" si="6"/>
        <v>2.8498697452754011E-2</v>
      </c>
      <c r="O42" s="14">
        <f t="shared" si="7"/>
        <v>6.6572146641018126E-2</v>
      </c>
      <c r="P42" s="14">
        <f t="shared" si="8"/>
        <v>4.674728834304924E-2</v>
      </c>
      <c r="Q42" s="10">
        <v>737466.33799999999</v>
      </c>
      <c r="R42" s="23">
        <f t="shared" si="9"/>
        <v>0.30854643564761597</v>
      </c>
      <c r="S42" s="11">
        <v>867141.7</v>
      </c>
      <c r="T42" s="22">
        <f t="shared" si="10"/>
        <v>0.2624053369824102</v>
      </c>
      <c r="U42" s="24">
        <f>S42+dep_pre_eng_nomi!D65</f>
        <v>867141.7</v>
      </c>
      <c r="V42" s="22">
        <f t="shared" si="11"/>
        <v>0.2624053369824102</v>
      </c>
    </row>
    <row r="43" spans="1:22" x14ac:dyDescent="0.2">
      <c r="A43" s="9">
        <v>2000</v>
      </c>
      <c r="B43" s="11">
        <f>dep_pre_eng_nomi!K44</f>
        <v>28217.041000000001</v>
      </c>
      <c r="C43" s="12">
        <f>dep_pre_eng_nomi!B44-dep_pre_eng_nomi!K44</f>
        <v>154899.29399999999</v>
      </c>
      <c r="D43" s="13">
        <f>dep_pre_eng_nomi!Q44</f>
        <v>17432.241000000002</v>
      </c>
      <c r="E43" s="13">
        <f>dep_pre_eng_nomi!R44</f>
        <v>3698.77</v>
      </c>
      <c r="F43" s="13">
        <f>dep_pre_eng_nomi!S44</f>
        <v>6662.0020000000004</v>
      </c>
      <c r="G43" s="13">
        <f>dep_pre_eng_nomi!T44</f>
        <v>15828</v>
      </c>
      <c r="H43" s="13">
        <f>dep_pre_eng_nomi!Y44</f>
        <v>17432</v>
      </c>
      <c r="I43" s="13">
        <f t="shared" si="1"/>
        <v>244169.348</v>
      </c>
      <c r="J43" s="14">
        <f t="shared" si="2"/>
        <v>0.11556340396993647</v>
      </c>
      <c r="K43" s="14">
        <f t="shared" si="3"/>
        <v>0.63439287227813701</v>
      </c>
      <c r="L43" s="14">
        <f t="shared" si="4"/>
        <v>7.1394059667145446E-2</v>
      </c>
      <c r="M43" s="14">
        <f t="shared" si="5"/>
        <v>1.5148379722093536E-2</v>
      </c>
      <c r="N43" s="14">
        <f t="shared" si="6"/>
        <v>2.7284350204350796E-2</v>
      </c>
      <c r="O43" s="14">
        <f t="shared" si="7"/>
        <v>6.4823861511068948E-2</v>
      </c>
      <c r="P43" s="14">
        <f t="shared" si="8"/>
        <v>7.1393072647267755E-2</v>
      </c>
      <c r="Q43" s="10">
        <v>781704.00100000005</v>
      </c>
      <c r="R43" s="23">
        <f t="shared" si="9"/>
        <v>0.31235524915779467</v>
      </c>
      <c r="S43" s="11">
        <v>916987.4</v>
      </c>
      <c r="T43" s="22">
        <f t="shared" si="10"/>
        <v>0.26627339481436713</v>
      </c>
      <c r="U43" s="24">
        <f>S43+dep_pre_eng_nomi!D66</f>
        <v>916987.4</v>
      </c>
      <c r="V43" s="22">
        <f t="shared" si="11"/>
        <v>0.26627339481436713</v>
      </c>
    </row>
    <row r="44" spans="1:22" x14ac:dyDescent="0.2">
      <c r="A44" s="9">
        <v>2001</v>
      </c>
      <c r="B44" s="11">
        <f>dep_pre_eng_nomi!K45</f>
        <v>30573.542000000001</v>
      </c>
      <c r="C44" s="12">
        <f>dep_pre_eng_nomi!B45-dep_pre_eng_nomi!K45</f>
        <v>160300.21000000002</v>
      </c>
      <c r="D44" s="13">
        <f>dep_pre_eng_nomi!Q45</f>
        <v>19908.933000000001</v>
      </c>
      <c r="E44" s="13">
        <f>dep_pre_eng_nomi!R45</f>
        <v>4131.0200000000004</v>
      </c>
      <c r="F44" s="13">
        <f>dep_pre_eng_nomi!S45</f>
        <v>7015.7060000000001</v>
      </c>
      <c r="G44" s="13">
        <f>dep_pre_eng_nomi!T45</f>
        <v>15994</v>
      </c>
      <c r="H44" s="13">
        <f>dep_pre_eng_nomi!Y45</f>
        <v>21088</v>
      </c>
      <c r="I44" s="13">
        <f t="shared" si="1"/>
        <v>259011.41100000002</v>
      </c>
      <c r="J44" s="14">
        <f t="shared" si="2"/>
        <v>0.11803936313832906</v>
      </c>
      <c r="K44" s="14">
        <f t="shared" si="3"/>
        <v>0.61889246261818176</v>
      </c>
      <c r="L44" s="14">
        <f t="shared" si="4"/>
        <v>7.6865080666272262E-2</v>
      </c>
      <c r="M44" s="14">
        <f t="shared" si="5"/>
        <v>1.5949181482201185E-2</v>
      </c>
      <c r="N44" s="14">
        <f t="shared" si="6"/>
        <v>2.7086474580071684E-2</v>
      </c>
      <c r="O44" s="14">
        <f t="shared" si="7"/>
        <v>6.1750175168923345E-2</v>
      </c>
      <c r="P44" s="14">
        <f t="shared" si="8"/>
        <v>8.141726234602073E-2</v>
      </c>
      <c r="Q44" s="10">
        <v>816548.43599999999</v>
      </c>
      <c r="R44" s="23">
        <f t="shared" si="9"/>
        <v>0.31720275195040609</v>
      </c>
      <c r="S44" s="11">
        <v>964453.5</v>
      </c>
      <c r="T44" s="22">
        <f t="shared" si="10"/>
        <v>0.26855769718291239</v>
      </c>
      <c r="U44" s="24">
        <f>S44+dep_pre_eng_nomi!D67</f>
        <v>964453.5</v>
      </c>
      <c r="V44" s="22">
        <f t="shared" si="11"/>
        <v>0.26855769718291239</v>
      </c>
    </row>
    <row r="45" spans="1:22" x14ac:dyDescent="0.2">
      <c r="A45" s="9">
        <v>2002</v>
      </c>
      <c r="B45" s="11">
        <f>dep_pre_eng_nomi!K46</f>
        <v>29453.562999999998</v>
      </c>
      <c r="C45" s="12">
        <f>dep_pre_eng_nomi!B46-dep_pre_eng_nomi!K46</f>
        <v>167984.18</v>
      </c>
      <c r="D45" s="13">
        <f>dep_pre_eng_nomi!Q46</f>
        <v>22635.781999999999</v>
      </c>
      <c r="E45" s="13">
        <f>dep_pre_eng_nomi!R46</f>
        <v>4280.76</v>
      </c>
      <c r="F45" s="13">
        <f>dep_pre_eng_nomi!S46</f>
        <v>7531.8890000000001</v>
      </c>
      <c r="G45" s="13">
        <f>dep_pre_eng_nomi!T46</f>
        <v>16123</v>
      </c>
      <c r="H45" s="13">
        <f>dep_pre_eng_nomi!Y46</f>
        <v>17301</v>
      </c>
      <c r="I45" s="13">
        <f t="shared" si="1"/>
        <v>265310.174</v>
      </c>
      <c r="J45" s="14">
        <f t="shared" si="2"/>
        <v>0.11101558057852692</v>
      </c>
      <c r="K45" s="14">
        <f t="shared" si="3"/>
        <v>0.63316147084506447</v>
      </c>
      <c r="L45" s="14">
        <f t="shared" si="4"/>
        <v>8.5318183086337276E-2</v>
      </c>
      <c r="M45" s="14">
        <f t="shared" si="5"/>
        <v>1.6134925907515332E-2</v>
      </c>
      <c r="N45" s="14">
        <f t="shared" si="6"/>
        <v>2.838899423434851E-2</v>
      </c>
      <c r="O45" s="14">
        <f t="shared" si="7"/>
        <v>6.0770379653816063E-2</v>
      </c>
      <c r="P45" s="14">
        <f t="shared" si="8"/>
        <v>6.5210465694391345E-2</v>
      </c>
      <c r="Q45" s="10">
        <v>840252.13300000003</v>
      </c>
      <c r="R45" s="23">
        <f t="shared" si="9"/>
        <v>0.31575067004322616</v>
      </c>
      <c r="S45" s="11">
        <v>1003377.3</v>
      </c>
      <c r="T45" s="22">
        <f t="shared" si="10"/>
        <v>0.26441715793251452</v>
      </c>
      <c r="U45" s="24">
        <f>S45+dep_pre_eng_nomi!D68</f>
        <v>1003377.3</v>
      </c>
      <c r="V45" s="22">
        <f t="shared" si="11"/>
        <v>0.26441715793251452</v>
      </c>
    </row>
    <row r="46" spans="1:22" x14ac:dyDescent="0.2">
      <c r="A46" s="9">
        <v>2003</v>
      </c>
      <c r="B46" s="11">
        <f>dep_pre_eng_nomi!K47</f>
        <v>31944.562000000002</v>
      </c>
      <c r="C46" s="12">
        <f>dep_pre_eng_nomi!B47-dep_pre_eng_nomi!K47</f>
        <v>175438.103</v>
      </c>
      <c r="D46" s="13">
        <f>dep_pre_eng_nomi!Q47</f>
        <v>24152.815999999999</v>
      </c>
      <c r="E46" s="13">
        <f>dep_pre_eng_nomi!R47</f>
        <v>4582.01</v>
      </c>
      <c r="F46" s="13">
        <f>dep_pre_eng_nomi!S47</f>
        <v>7675.4610000000002</v>
      </c>
      <c r="G46" s="13">
        <f>dep_pre_eng_nomi!T47</f>
        <v>17588</v>
      </c>
      <c r="H46" s="13">
        <f>dep_pre_eng_nomi!Y47</f>
        <v>15781</v>
      </c>
      <c r="I46" s="13">
        <f t="shared" si="1"/>
        <v>277161.95200000005</v>
      </c>
      <c r="J46" s="14">
        <f t="shared" si="2"/>
        <v>0.11525594248953766</v>
      </c>
      <c r="K46" s="14">
        <f t="shared" si="3"/>
        <v>0.63298047128777613</v>
      </c>
      <c r="L46" s="14">
        <f t="shared" si="4"/>
        <v>8.7143331996738113E-2</v>
      </c>
      <c r="M46" s="14">
        <f t="shared" si="5"/>
        <v>1.6531886743242446E-2</v>
      </c>
      <c r="N46" s="14">
        <f t="shared" si="6"/>
        <v>2.7693054348238964E-2</v>
      </c>
      <c r="O46" s="14">
        <f t="shared" si="7"/>
        <v>6.3457483514908986E-2</v>
      </c>
      <c r="P46" s="14">
        <f t="shared" si="8"/>
        <v>5.6937829619557581E-2</v>
      </c>
      <c r="Q46" s="10">
        <v>868521.29200000002</v>
      </c>
      <c r="R46" s="23">
        <f t="shared" si="9"/>
        <v>0.31911935211370734</v>
      </c>
      <c r="S46" s="11">
        <v>1029031.5</v>
      </c>
      <c r="T46" s="22">
        <f t="shared" si="10"/>
        <v>0.26934253421785442</v>
      </c>
      <c r="U46" s="24">
        <f>S46+dep_pre_eng_nomi!D69</f>
        <v>1029031.5</v>
      </c>
      <c r="V46" s="22">
        <f t="shared" si="11"/>
        <v>0.26934253421785442</v>
      </c>
    </row>
    <row r="47" spans="1:22" x14ac:dyDescent="0.2">
      <c r="A47" s="9">
        <v>2004</v>
      </c>
      <c r="B47" s="11">
        <f>dep_pre_eng_nomi!K48</f>
        <v>33673.930999999997</v>
      </c>
      <c r="C47" s="12">
        <f>dep_pre_eng_nomi!B48-dep_pre_eng_nomi!K48</f>
        <v>183973.65100000001</v>
      </c>
      <c r="D47" s="13">
        <f>dep_pre_eng_nomi!Q48</f>
        <v>25385.018</v>
      </c>
      <c r="E47" s="13">
        <f>dep_pre_eng_nomi!R48</f>
        <v>4713.0200000000004</v>
      </c>
      <c r="F47" s="13">
        <f>dep_pre_eng_nomi!S48</f>
        <v>7970.4979999999996</v>
      </c>
      <c r="G47" s="13">
        <f>dep_pre_eng_nomi!T48</f>
        <v>19205</v>
      </c>
      <c r="H47" s="13">
        <f>dep_pre_eng_nomi!Y48</f>
        <v>16454</v>
      </c>
      <c r="I47" s="13">
        <f t="shared" si="1"/>
        <v>291375.11800000002</v>
      </c>
      <c r="J47" s="14">
        <f t="shared" si="2"/>
        <v>0.11556899995832862</v>
      </c>
      <c r="K47" s="14">
        <f t="shared" si="3"/>
        <v>0.63139794592893139</v>
      </c>
      <c r="L47" s="14">
        <f t="shared" si="4"/>
        <v>8.7121433615343913E-2</v>
      </c>
      <c r="M47" s="14">
        <f t="shared" si="5"/>
        <v>1.6175094264569291E-2</v>
      </c>
      <c r="N47" s="14">
        <f t="shared" si="6"/>
        <v>2.7354765412741931E-2</v>
      </c>
      <c r="O47" s="14">
        <f t="shared" si="7"/>
        <v>6.5911599218983416E-2</v>
      </c>
      <c r="P47" s="14">
        <f t="shared" si="8"/>
        <v>5.647016160110143E-2</v>
      </c>
      <c r="Q47" s="10">
        <v>905537.03500000003</v>
      </c>
      <c r="R47" s="23">
        <f t="shared" si="9"/>
        <v>0.32177051488567776</v>
      </c>
      <c r="S47" s="11">
        <v>1074974.8</v>
      </c>
      <c r="T47" s="22">
        <f t="shared" si="10"/>
        <v>0.2710529753813764</v>
      </c>
      <c r="U47" s="24">
        <f>S47+dep_pre_eng_nomi!D70</f>
        <v>1074974.8</v>
      </c>
      <c r="V47" s="22">
        <f t="shared" si="11"/>
        <v>0.2710529753813764</v>
      </c>
    </row>
    <row r="48" spans="1:22" x14ac:dyDescent="0.2">
      <c r="A48" s="9">
        <v>2005</v>
      </c>
      <c r="B48" s="11">
        <f>dep_pre_eng_nomi!K49</f>
        <v>35835.688000000002</v>
      </c>
      <c r="C48" s="12">
        <f>dep_pre_eng_nomi!B49-dep_pre_eng_nomi!K49</f>
        <v>194486.193</v>
      </c>
      <c r="D48" s="13">
        <f>dep_pre_eng_nomi!Q49</f>
        <v>26952.141</v>
      </c>
      <c r="E48" s="13">
        <f>dep_pre_eng_nomi!R49</f>
        <v>5102.51</v>
      </c>
      <c r="F48" s="13">
        <f>dep_pre_eng_nomi!S49</f>
        <v>8266.2790000000005</v>
      </c>
      <c r="G48" s="13">
        <f>dep_pre_eng_nomi!T49</f>
        <v>20821</v>
      </c>
      <c r="H48" s="13">
        <f>dep_pre_eng_nomi!Y49</f>
        <v>15687</v>
      </c>
      <c r="I48" s="13">
        <f t="shared" si="1"/>
        <v>307150.81099999999</v>
      </c>
      <c r="J48" s="14">
        <f t="shared" si="2"/>
        <v>0.11667131167040937</v>
      </c>
      <c r="K48" s="14">
        <f t="shared" si="3"/>
        <v>0.6331944635496991</v>
      </c>
      <c r="L48" s="14">
        <f t="shared" si="4"/>
        <v>8.7748884374588221E-2</v>
      </c>
      <c r="M48" s="14">
        <f t="shared" si="5"/>
        <v>1.6612393056647343E-2</v>
      </c>
      <c r="N48" s="14">
        <f t="shared" si="6"/>
        <v>2.6912769571036558E-2</v>
      </c>
      <c r="O48" s="14">
        <f t="shared" si="7"/>
        <v>6.7787546880349936E-2</v>
      </c>
      <c r="P48" s="14">
        <f t="shared" si="8"/>
        <v>5.1072630897269551E-2</v>
      </c>
      <c r="Q48" s="10">
        <v>945812.402</v>
      </c>
      <c r="R48" s="23">
        <f t="shared" si="9"/>
        <v>0.32474813224113336</v>
      </c>
      <c r="S48" s="11">
        <v>1105656.1000000001</v>
      </c>
      <c r="T48" s="22">
        <f t="shared" si="10"/>
        <v>0.27779958976394192</v>
      </c>
      <c r="U48" s="24">
        <f>S48+dep_pre_eng_nomi!D71</f>
        <v>1105656.1000000001</v>
      </c>
      <c r="V48" s="22">
        <f t="shared" si="11"/>
        <v>0.27779958976394192</v>
      </c>
    </row>
    <row r="49" spans="1:22" x14ac:dyDescent="0.2">
      <c r="A49" s="9">
        <v>2006</v>
      </c>
      <c r="B49" s="11">
        <f>dep_pre_eng_nomi!K50</f>
        <v>37995.002999999997</v>
      </c>
      <c r="C49" s="12">
        <f>dep_pre_eng_nomi!B50-dep_pre_eng_nomi!K50</f>
        <v>204942.035</v>
      </c>
      <c r="D49" s="13">
        <f>dep_pre_eng_nomi!Q50</f>
        <v>27061.51</v>
      </c>
      <c r="E49" s="13">
        <f>dep_pre_eng_nomi!R50</f>
        <v>5312.08</v>
      </c>
      <c r="F49" s="13">
        <f>dep_pre_eng_nomi!S50</f>
        <v>8594.1029999999992</v>
      </c>
      <c r="G49" s="13">
        <f>dep_pre_eng_nomi!T50</f>
        <v>22531</v>
      </c>
      <c r="H49" s="13">
        <f>dep_pre_eng_nomi!Y50</f>
        <v>18318</v>
      </c>
      <c r="I49" s="13">
        <f t="shared" si="1"/>
        <v>324753.73100000003</v>
      </c>
      <c r="J49" s="14">
        <f t="shared" si="2"/>
        <v>0.11699635561692744</v>
      </c>
      <c r="K49" s="14">
        <f t="shared" si="3"/>
        <v>0.6310690699963043</v>
      </c>
      <c r="L49" s="14">
        <f t="shared" si="4"/>
        <v>8.3329327477380075E-2</v>
      </c>
      <c r="M49" s="14">
        <f t="shared" si="5"/>
        <v>1.6357256261976556E-2</v>
      </c>
      <c r="N49" s="14">
        <f t="shared" si="6"/>
        <v>2.6463446543128395E-2</v>
      </c>
      <c r="O49" s="14">
        <f t="shared" si="7"/>
        <v>6.9378725628867363E-2</v>
      </c>
      <c r="P49" s="14">
        <f t="shared" si="8"/>
        <v>5.6405818475415759E-2</v>
      </c>
      <c r="Q49" s="10">
        <v>987164.12199999997</v>
      </c>
      <c r="R49" s="23">
        <f t="shared" si="9"/>
        <v>0.32897643235052665</v>
      </c>
      <c r="S49" s="11">
        <v>1155893.5</v>
      </c>
      <c r="T49" s="22">
        <f t="shared" si="10"/>
        <v>0.28095471684891388</v>
      </c>
      <c r="U49" s="24">
        <f>S49+dep_pre_eng_nomi!D72</f>
        <v>1155893.5</v>
      </c>
      <c r="V49" s="22">
        <f t="shared" si="11"/>
        <v>0.28095471684891388</v>
      </c>
    </row>
    <row r="50" spans="1:22" x14ac:dyDescent="0.2">
      <c r="A50" s="9">
        <v>2007</v>
      </c>
      <c r="B50" s="11">
        <f>dep_pre_eng_nomi!K51</f>
        <v>37443.031000000003</v>
      </c>
      <c r="C50" s="12">
        <f>dep_pre_eng_nomi!B51-dep_pre_eng_nomi!K51</f>
        <v>214719.31900000002</v>
      </c>
      <c r="D50" s="13">
        <f>dep_pre_eng_nomi!Q51</f>
        <v>28318.832999999999</v>
      </c>
      <c r="E50" s="13">
        <f>dep_pre_eng_nomi!R51</f>
        <v>5522.45</v>
      </c>
      <c r="F50" s="13">
        <f>dep_pre_eng_nomi!S51</f>
        <v>9086.5750000000007</v>
      </c>
      <c r="G50" s="13">
        <f>dep_pre_eng_nomi!T51</f>
        <v>23684</v>
      </c>
      <c r="H50" s="13">
        <f>dep_pre_eng_nomi!Y51</f>
        <v>23810</v>
      </c>
      <c r="I50" s="13">
        <f t="shared" si="1"/>
        <v>342584.20800000004</v>
      </c>
      <c r="J50" s="14">
        <f t="shared" si="2"/>
        <v>0.10929584646820614</v>
      </c>
      <c r="K50" s="14">
        <f t="shared" si="3"/>
        <v>0.62676362186548884</v>
      </c>
      <c r="L50" s="14">
        <f t="shared" si="4"/>
        <v>8.2662400480526518E-2</v>
      </c>
      <c r="M50" s="14">
        <f t="shared" si="5"/>
        <v>1.6119978303261426E-2</v>
      </c>
      <c r="N50" s="14">
        <f t="shared" si="6"/>
        <v>2.6523624813435648E-2</v>
      </c>
      <c r="O50" s="14">
        <f t="shared" si="7"/>
        <v>6.9133367641978402E-2</v>
      </c>
      <c r="P50" s="14">
        <f t="shared" si="8"/>
        <v>6.9501160427102929E-2</v>
      </c>
      <c r="Q50" s="10">
        <v>1032729.947</v>
      </c>
      <c r="R50" s="23">
        <f t="shared" si="9"/>
        <v>0.33172680718243958</v>
      </c>
      <c r="S50" s="11">
        <v>1216268.2</v>
      </c>
      <c r="T50" s="22">
        <f t="shared" si="10"/>
        <v>0.28166830967051515</v>
      </c>
      <c r="U50" s="24">
        <f>S50+dep_pre_eng_nomi!D73</f>
        <v>1216268.2</v>
      </c>
      <c r="V50" s="22">
        <f t="shared" si="11"/>
        <v>0.28166830967051515</v>
      </c>
    </row>
    <row r="51" spans="1:22" x14ac:dyDescent="0.2">
      <c r="A51" s="9">
        <v>2008</v>
      </c>
      <c r="B51" s="11">
        <f>dep_pre_eng_nomi!K52</f>
        <v>42687.599000000002</v>
      </c>
      <c r="C51" s="12">
        <f>dep_pre_eng_nomi!B52-dep_pre_eng_nomi!K52</f>
        <v>220842.58799999999</v>
      </c>
      <c r="D51" s="13">
        <f>dep_pre_eng_nomi!Q52</f>
        <v>29781.008999999998</v>
      </c>
      <c r="E51" s="13">
        <f>dep_pre_eng_nomi!R52</f>
        <v>5719.44</v>
      </c>
      <c r="F51" s="13">
        <f>dep_pre_eng_nomi!S52</f>
        <v>9546.6540000000005</v>
      </c>
      <c r="G51" s="13">
        <f>dep_pre_eng_nomi!T52</f>
        <v>24331</v>
      </c>
      <c r="H51" s="13">
        <f>dep_pre_eng_nomi!Y52</f>
        <v>26862</v>
      </c>
      <c r="I51" s="13">
        <f t="shared" si="1"/>
        <v>359770.29</v>
      </c>
      <c r="J51" s="14">
        <f t="shared" si="2"/>
        <v>0.11865237399119312</v>
      </c>
      <c r="K51" s="14">
        <f t="shared" si="3"/>
        <v>0.6138433165228846</v>
      </c>
      <c r="L51" s="14">
        <f t="shared" si="4"/>
        <v>8.27778441627295E-2</v>
      </c>
      <c r="M51" s="14">
        <f t="shared" si="5"/>
        <v>1.5897477248607714E-2</v>
      </c>
      <c r="N51" s="14">
        <f t="shared" si="6"/>
        <v>2.6535415139476916E-2</v>
      </c>
      <c r="O51" s="14">
        <f t="shared" si="7"/>
        <v>6.7629264217453869E-2</v>
      </c>
      <c r="P51" s="14">
        <f t="shared" si="8"/>
        <v>7.4664308717654254E-2</v>
      </c>
      <c r="Q51" s="10">
        <v>1066598.0970000001</v>
      </c>
      <c r="R51" s="23">
        <f t="shared" si="9"/>
        <v>0.33730633029621837</v>
      </c>
      <c r="S51" s="11">
        <v>1254095.8999999999</v>
      </c>
      <c r="T51" s="22">
        <f t="shared" si="10"/>
        <v>0.2868762189558231</v>
      </c>
      <c r="U51" s="24">
        <f>S51+dep_pre_eng_nomi!D74</f>
        <v>1254095.8999999999</v>
      </c>
      <c r="V51" s="22">
        <f t="shared" si="11"/>
        <v>0.2868762189558231</v>
      </c>
    </row>
    <row r="52" spans="1:22" x14ac:dyDescent="0.2">
      <c r="A52" s="9">
        <v>2009</v>
      </c>
      <c r="B52" s="11">
        <f>dep_pre_eng_nomi!K53</f>
        <v>40374.559000000001</v>
      </c>
      <c r="C52" s="12">
        <f>dep_pre_eng_nomi!B53-dep_pre_eng_nomi!K53</f>
        <v>226478.27100000001</v>
      </c>
      <c r="D52" s="13">
        <f>dep_pre_eng_nomi!Q53</f>
        <v>30214.663</v>
      </c>
      <c r="E52" s="13">
        <f>dep_pre_eng_nomi!R53</f>
        <v>5603.04</v>
      </c>
      <c r="F52" s="13">
        <f>dep_pre_eng_nomi!S53</f>
        <v>9750.9609999999993</v>
      </c>
      <c r="G52" s="13">
        <f>dep_pre_eng_nomi!T53</f>
        <v>26080</v>
      </c>
      <c r="H52" s="13">
        <f>dep_pre_eng_nomi!Y53</f>
        <v>19314</v>
      </c>
      <c r="I52" s="13">
        <f t="shared" si="1"/>
        <v>357815.49400000001</v>
      </c>
      <c r="J52" s="14">
        <f t="shared" si="2"/>
        <v>0.1128362512999507</v>
      </c>
      <c r="K52" s="14">
        <f t="shared" si="3"/>
        <v>0.63294707690886076</v>
      </c>
      <c r="L52" s="14">
        <f t="shared" si="4"/>
        <v>8.4442019718687755E-2</v>
      </c>
      <c r="M52" s="14">
        <f t="shared" si="5"/>
        <v>1.5659020064681714E-2</v>
      </c>
      <c r="N52" s="14">
        <f t="shared" si="6"/>
        <v>2.7251366035032566E-2</v>
      </c>
      <c r="O52" s="14">
        <f t="shared" si="7"/>
        <v>7.2886726364062931E-2</v>
      </c>
      <c r="P52" s="14">
        <f t="shared" si="8"/>
        <v>5.3977539608723597E-2</v>
      </c>
      <c r="Q52" s="10">
        <v>1051463.202</v>
      </c>
      <c r="R52" s="23">
        <f t="shared" si="9"/>
        <v>0.34030244075056082</v>
      </c>
      <c r="S52" s="11">
        <v>1255298.209</v>
      </c>
      <c r="T52" s="22">
        <f t="shared" si="10"/>
        <v>0.28504421613494074</v>
      </c>
      <c r="U52" s="24">
        <f>S52+dep_pre_eng_nomi!D75</f>
        <v>1255298.209</v>
      </c>
      <c r="V52" s="22">
        <f t="shared" si="11"/>
        <v>0.28504421613494074</v>
      </c>
    </row>
    <row r="53" spans="1:22" x14ac:dyDescent="0.2">
      <c r="A53" s="9">
        <v>2010</v>
      </c>
      <c r="B53" s="11">
        <f>dep_pre_eng_nomi!K54</f>
        <v>44781.777999999998</v>
      </c>
      <c r="C53" s="12">
        <f>dep_pre_eng_nomi!B54-dep_pre_eng_nomi!K54</f>
        <v>232000.18400000001</v>
      </c>
      <c r="D53" s="13">
        <f>dep_pre_eng_nomi!Q54</f>
        <v>30483.713</v>
      </c>
      <c r="E53" s="13">
        <f>dep_pre_eng_nomi!R54</f>
        <v>5686.0479999999998</v>
      </c>
      <c r="F53" s="13">
        <f>dep_pre_eng_nomi!S54</f>
        <v>10094.911</v>
      </c>
      <c r="G53" s="13">
        <f>dep_pre_eng_nomi!T54</f>
        <v>27111</v>
      </c>
      <c r="H53" s="13">
        <f>dep_pre_eng_nomi!Y54</f>
        <v>15415</v>
      </c>
      <c r="I53" s="13">
        <f t="shared" si="1"/>
        <v>365572.63400000002</v>
      </c>
      <c r="J53" s="14">
        <f t="shared" si="2"/>
        <v>0.12249762108834436</v>
      </c>
      <c r="K53" s="14">
        <f t="shared" si="3"/>
        <v>0.63462131030300262</v>
      </c>
      <c r="L53" s="14">
        <f t="shared" si="4"/>
        <v>8.3386200620257589E-2</v>
      </c>
      <c r="M53" s="14">
        <f t="shared" si="5"/>
        <v>1.5553811940967112E-2</v>
      </c>
      <c r="N53" s="14">
        <f t="shared" si="6"/>
        <v>2.7613967953629699E-2</v>
      </c>
      <c r="O53" s="14">
        <f t="shared" si="7"/>
        <v>7.4160365078092788E-2</v>
      </c>
      <c r="P53" s="14">
        <f t="shared" si="8"/>
        <v>4.2166723015705815E-2</v>
      </c>
      <c r="Q53" s="10">
        <v>1082393.7</v>
      </c>
      <c r="R53" s="23">
        <f t="shared" si="9"/>
        <v>0.33774460623708363</v>
      </c>
      <c r="S53" s="11">
        <v>1285390.2620000001</v>
      </c>
      <c r="T53" s="22">
        <f t="shared" si="10"/>
        <v>0.28440594643309969</v>
      </c>
      <c r="U53" s="24">
        <f>S53+dep_pre_eng_nomi!D76</f>
        <v>1285390.2620000001</v>
      </c>
      <c r="V53" s="22">
        <f t="shared" si="11"/>
        <v>0.28440594643309969</v>
      </c>
    </row>
    <row r="54" spans="1:22" x14ac:dyDescent="0.2">
      <c r="A54" s="9">
        <v>2011</v>
      </c>
      <c r="B54" s="11">
        <f>dep_pre_eng_nomi!K55</f>
        <v>44161.39</v>
      </c>
      <c r="C54" s="12">
        <f>dep_pre_eng_nomi!B55-dep_pre_eng_nomi!K55</f>
        <v>237068.77999999997</v>
      </c>
      <c r="D54" s="13">
        <f>dep_pre_eng_nomi!Q55</f>
        <v>29423.327000000001</v>
      </c>
      <c r="E54" s="13">
        <f>dep_pre_eng_nomi!R55</f>
        <v>5706.1270000000004</v>
      </c>
      <c r="F54" s="13">
        <f>dep_pre_eng_nomi!S55</f>
        <v>10463.429</v>
      </c>
      <c r="G54" s="13">
        <f>dep_pre_eng_nomi!T55</f>
        <v>26773</v>
      </c>
      <c r="H54" s="13">
        <f>dep_pre_eng_nomi!Y55</f>
        <v>15876</v>
      </c>
      <c r="I54" s="13">
        <f t="shared" si="1"/>
        <v>369472.05299999996</v>
      </c>
      <c r="J54" s="14">
        <f t="shared" si="2"/>
        <v>0.11952565733029882</v>
      </c>
      <c r="K54" s="14">
        <f t="shared" si="3"/>
        <v>0.64164198097007352</v>
      </c>
      <c r="L54" s="14">
        <f t="shared" si="4"/>
        <v>7.9636136917776573E-2</v>
      </c>
      <c r="M54" s="14">
        <f t="shared" si="5"/>
        <v>1.5444001660390809E-2</v>
      </c>
      <c r="N54" s="14">
        <f t="shared" si="6"/>
        <v>2.8319947111128323E-2</v>
      </c>
      <c r="O54" s="14">
        <f t="shared" si="7"/>
        <v>7.2462855532946097E-2</v>
      </c>
      <c r="P54" s="14">
        <f t="shared" si="8"/>
        <v>4.2969420477385882E-2</v>
      </c>
      <c r="Q54" s="10">
        <v>1106881</v>
      </c>
      <c r="R54" s="23">
        <f t="shared" si="9"/>
        <v>0.33379564108517534</v>
      </c>
      <c r="S54" s="11">
        <v>1311387.8959999999</v>
      </c>
      <c r="T54" s="22">
        <f t="shared" si="10"/>
        <v>0.28174124080828022</v>
      </c>
      <c r="U54" s="24">
        <f>S54+dep_pre_eng_nomi!D77</f>
        <v>1311387.8959999999</v>
      </c>
      <c r="V54" s="22">
        <f t="shared" si="11"/>
        <v>0.28174124080828022</v>
      </c>
    </row>
    <row r="55" spans="1:22" x14ac:dyDescent="0.2">
      <c r="A55" s="9">
        <v>2012</v>
      </c>
      <c r="B55" s="11">
        <f>dep_pre_eng_nomi!K56</f>
        <v>49937.633999999998</v>
      </c>
      <c r="C55" s="12">
        <f>dep_pre_eng_nomi!B56-dep_pre_eng_nomi!K56</f>
        <v>243687.209</v>
      </c>
      <c r="D55" s="13">
        <f>dep_pre_eng_nomi!Q56</f>
        <v>26773.837</v>
      </c>
      <c r="E55" s="13">
        <f>dep_pre_eng_nomi!R56</f>
        <v>5831.4530000000004</v>
      </c>
      <c r="F55" s="13">
        <f>dep_pre_eng_nomi!S56</f>
        <v>10891.638999999999</v>
      </c>
      <c r="G55" s="13">
        <f>dep_pre_eng_nomi!T56</f>
        <v>28129</v>
      </c>
      <c r="H55" s="13">
        <f>dep_pre_eng_nomi!Y56</f>
        <v>13866</v>
      </c>
      <c r="I55" s="13">
        <f t="shared" si="1"/>
        <v>379116.772</v>
      </c>
      <c r="J55" s="14">
        <f t="shared" si="2"/>
        <v>0.13172098331750937</v>
      </c>
      <c r="K55" s="14">
        <f t="shared" si="3"/>
        <v>0.64277612334175493</v>
      </c>
      <c r="L55" s="14">
        <f t="shared" si="4"/>
        <v>7.0621610483642752E-2</v>
      </c>
      <c r="M55" s="14">
        <f t="shared" si="5"/>
        <v>1.5381680344123632E-2</v>
      </c>
      <c r="N55" s="14">
        <f t="shared" si="6"/>
        <v>2.8728982214482453E-2</v>
      </c>
      <c r="O55" s="14">
        <f t="shared" si="7"/>
        <v>7.4196137120517577E-2</v>
      </c>
      <c r="P55" s="14">
        <f t="shared" si="8"/>
        <v>3.6574483177969241E-2</v>
      </c>
      <c r="Q55" s="10">
        <v>1119646</v>
      </c>
      <c r="R55" s="23">
        <f t="shared" si="9"/>
        <v>0.33860414095169367</v>
      </c>
      <c r="S55" s="11">
        <v>1318313.9369999999</v>
      </c>
      <c r="T55" s="22">
        <f t="shared" si="10"/>
        <v>0.28757700374671835</v>
      </c>
      <c r="U55" s="24">
        <f>S55+dep_pre_eng_nomi!D78</f>
        <v>1318313.9369999999</v>
      </c>
      <c r="V55" s="22">
        <f t="shared" si="11"/>
        <v>0.28757700374671835</v>
      </c>
    </row>
    <row r="56" spans="1:22" x14ac:dyDescent="0.2">
      <c r="A56" s="9">
        <v>2013</v>
      </c>
      <c r="B56" s="11">
        <f>dep_pre_eng_nomi!K57</f>
        <v>52947.436000000002</v>
      </c>
      <c r="C56" s="12">
        <f>dep_pre_eng_nomi!B57-dep_pre_eng_nomi!K57</f>
        <v>248749.08799999999</v>
      </c>
      <c r="D56" s="13">
        <f>dep_pre_eng_nomi!Q57</f>
        <v>24887.966</v>
      </c>
      <c r="E56" s="13">
        <f>dep_pre_eng_nomi!R57</f>
        <v>6011.982</v>
      </c>
      <c r="F56" s="13">
        <f>dep_pre_eng_nomi!S57</f>
        <v>11403.776</v>
      </c>
      <c r="G56" s="13">
        <f>dep_pre_eng_nomi!T57</f>
        <v>29870</v>
      </c>
      <c r="H56" s="13">
        <f>dep_pre_eng_nomi!Y57</f>
        <v>12999</v>
      </c>
      <c r="I56" s="13">
        <f t="shared" si="1"/>
        <v>386869.24800000002</v>
      </c>
      <c r="J56" s="14">
        <f t="shared" si="2"/>
        <v>0.13686132013263561</v>
      </c>
      <c r="K56" s="14">
        <f t="shared" si="3"/>
        <v>0.64297973872557579</v>
      </c>
      <c r="L56" s="14">
        <f t="shared" si="4"/>
        <v>6.4331724810548913E-2</v>
      </c>
      <c r="M56" s="14">
        <f t="shared" si="5"/>
        <v>1.5540087590523607E-2</v>
      </c>
      <c r="N56" s="14">
        <f t="shared" si="6"/>
        <v>2.9477080587185879E-2</v>
      </c>
      <c r="O56" s="14">
        <f t="shared" si="7"/>
        <v>7.7209548586296528E-2</v>
      </c>
      <c r="P56" s="14">
        <f t="shared" si="8"/>
        <v>3.3600499567233627E-2</v>
      </c>
      <c r="Q56" s="10">
        <v>1132231</v>
      </c>
      <c r="R56" s="23">
        <f t="shared" si="9"/>
        <v>0.34168756022401792</v>
      </c>
      <c r="S56" s="11">
        <v>1321925.463</v>
      </c>
      <c r="T56" s="22">
        <f t="shared" si="10"/>
        <v>0.29265587117297248</v>
      </c>
      <c r="U56" s="24">
        <f>S56+dep_pre_eng_nomi!D79</f>
        <v>1321925.463</v>
      </c>
      <c r="V56" s="22">
        <f t="shared" si="11"/>
        <v>0.29265587117297248</v>
      </c>
    </row>
    <row r="57" spans="1:22" x14ac:dyDescent="0.2">
      <c r="A57" s="9">
        <v>2014</v>
      </c>
      <c r="B57" s="11">
        <f>dep_pre_eng_nomi!K58</f>
        <v>47745.364000000001</v>
      </c>
      <c r="C57" s="12">
        <f>dep_pre_eng_nomi!B58-dep_pre_eng_nomi!K58</f>
        <v>254208.614</v>
      </c>
      <c r="D57" s="13">
        <f>dep_pre_eng_nomi!Q58</f>
        <v>24096.38</v>
      </c>
      <c r="E57" s="13">
        <f>dep_pre_eng_nomi!R58</f>
        <v>6318.643</v>
      </c>
      <c r="F57" s="13">
        <f>dep_pre_eng_nomi!S58</f>
        <v>11712.758</v>
      </c>
      <c r="G57" s="13">
        <f>dep_pre_eng_nomi!T58</f>
        <v>30296</v>
      </c>
      <c r="H57" s="13">
        <f>dep_pre_eng_nomi!Y58</f>
        <v>12697</v>
      </c>
      <c r="I57" s="13">
        <f t="shared" si="1"/>
        <v>387074.75899999996</v>
      </c>
      <c r="J57" s="14">
        <f t="shared" si="2"/>
        <v>0.12334920552130346</v>
      </c>
      <c r="K57" s="14">
        <f t="shared" si="3"/>
        <v>0.65674293683407037</v>
      </c>
      <c r="L57" s="14">
        <f t="shared" si="4"/>
        <v>6.2252522128419134E-2</v>
      </c>
      <c r="M57" s="14">
        <f t="shared" si="5"/>
        <v>1.6324089476472427E-2</v>
      </c>
      <c r="N57" s="14">
        <f t="shared" si="6"/>
        <v>3.0259679112788651E-2</v>
      </c>
      <c r="O57" s="14">
        <f t="shared" si="7"/>
        <v>7.8269118033604465E-2</v>
      </c>
      <c r="P57" s="14">
        <f t="shared" si="8"/>
        <v>3.2802448893341558E-2</v>
      </c>
      <c r="Q57" s="10">
        <v>1141496</v>
      </c>
      <c r="R57" s="23">
        <f t="shared" si="9"/>
        <v>0.3390942754070097</v>
      </c>
      <c r="S57" s="11">
        <v>1338491.1270000001</v>
      </c>
      <c r="T57" s="22">
        <f t="shared" si="10"/>
        <v>0.28918739257357806</v>
      </c>
      <c r="U57" s="24">
        <f>S57+dep_pre_eng_nomi!D80</f>
        <v>1338491.1270000001</v>
      </c>
      <c r="V57" s="22">
        <f t="shared" si="11"/>
        <v>0.28918739257357806</v>
      </c>
    </row>
    <row r="58" spans="1:22" x14ac:dyDescent="0.2">
      <c r="A58" s="9">
        <v>2015</v>
      </c>
      <c r="B58" s="11">
        <f>dep_pre_eng_nomi!K59</f>
        <v>48582.053999999996</v>
      </c>
      <c r="C58" s="12">
        <f>dep_pre_eng_nomi!B59-dep_pre_eng_nomi!K59</f>
        <v>258224.22399999999</v>
      </c>
      <c r="D58" s="13">
        <f>dep_pre_eng_nomi!Q59</f>
        <v>23673.772000000001</v>
      </c>
      <c r="E58" s="13">
        <f>dep_pre_eng_nomi!R59</f>
        <v>6450.1270000000004</v>
      </c>
      <c r="F58" s="13">
        <f>dep_pre_eng_nomi!S59</f>
        <v>11688.767</v>
      </c>
      <c r="G58" s="13">
        <f>dep_pre_eng_nomi!T59</f>
        <v>31024</v>
      </c>
      <c r="H58" s="13">
        <f>dep_pre_eng_nomi!Y59</f>
        <v>14249</v>
      </c>
      <c r="I58" s="13">
        <f t="shared" si="1"/>
        <v>393891.94399999996</v>
      </c>
      <c r="J58" s="14">
        <f t="shared" si="2"/>
        <v>0.1233385316456231</v>
      </c>
      <c r="K58" s="14">
        <f t="shared" si="3"/>
        <v>0.65557122437619597</v>
      </c>
      <c r="L58" s="14">
        <f t="shared" si="4"/>
        <v>6.0102198992929907E-2</v>
      </c>
      <c r="M58" s="14">
        <f t="shared" si="5"/>
        <v>1.6375371718696539E-2</v>
      </c>
      <c r="N58" s="14">
        <f t="shared" si="6"/>
        <v>2.9675059817928139E-2</v>
      </c>
      <c r="O58" s="14">
        <f t="shared" si="7"/>
        <v>7.8762717726463594E-2</v>
      </c>
      <c r="P58" s="14">
        <f t="shared" si="8"/>
        <v>3.6174895722162828E-2</v>
      </c>
      <c r="Q58" s="10">
        <v>1160572</v>
      </c>
      <c r="R58" s="23">
        <f t="shared" si="9"/>
        <v>0.33939466401050511</v>
      </c>
      <c r="S58" s="11">
        <v>1353320.324</v>
      </c>
      <c r="T58" s="22">
        <f t="shared" si="10"/>
        <v>0.29105595845614446</v>
      </c>
      <c r="U58" s="24">
        <f>S58+dep_pre_eng_nomi!D81</f>
        <v>1353320.324</v>
      </c>
      <c r="V58" s="22">
        <f t="shared" si="11"/>
        <v>0.29105595845614446</v>
      </c>
    </row>
    <row r="59" spans="1:22" x14ac:dyDescent="0.2">
      <c r="A59" s="9">
        <v>2016</v>
      </c>
      <c r="B59" s="11">
        <f>dep_pre_eng_nomi!K60</f>
        <v>49314.387999999999</v>
      </c>
      <c r="C59" s="12">
        <f>dep_pre_eng_nomi!B60-dep_pre_eng_nomi!K60</f>
        <v>261784.666</v>
      </c>
      <c r="D59" s="13">
        <f>dep_pre_eng_nomi!Q60</f>
        <v>23944.412</v>
      </c>
      <c r="E59" s="13">
        <f>dep_pre_eng_nomi!R60</f>
        <v>6810.2629999999999</v>
      </c>
      <c r="F59" s="13">
        <f>dep_pre_eng_nomi!S60</f>
        <v>11993.254000000001</v>
      </c>
      <c r="G59" s="13">
        <f>dep_pre_eng_nomi!T60</f>
        <v>32493</v>
      </c>
      <c r="H59" s="13">
        <f>dep_pre_eng_nomi!Y60</f>
        <v>13162</v>
      </c>
      <c r="I59" s="13">
        <f t="shared" si="1"/>
        <v>399501.98300000001</v>
      </c>
      <c r="J59" s="14">
        <f t="shared" si="2"/>
        <v>0.12343965761992225</v>
      </c>
      <c r="K59" s="14">
        <f t="shared" si="3"/>
        <v>0.65527751335341933</v>
      </c>
      <c r="L59" s="14">
        <f t="shared" si="4"/>
        <v>5.9935652434546238E-2</v>
      </c>
      <c r="M59" s="14">
        <f t="shared" si="5"/>
        <v>1.7046881592074601E-2</v>
      </c>
      <c r="N59" s="14">
        <f t="shared" si="6"/>
        <v>3.0020511813079038E-2</v>
      </c>
      <c r="O59" s="14">
        <f t="shared" si="7"/>
        <v>8.1333763992856078E-2</v>
      </c>
      <c r="P59" s="14">
        <f t="shared" si="8"/>
        <v>3.294601919410247E-2</v>
      </c>
      <c r="Q59" s="10">
        <v>1186092</v>
      </c>
      <c r="R59" s="23">
        <f t="shared" si="9"/>
        <v>0.33682208715681416</v>
      </c>
      <c r="S59" s="20">
        <v>1376974.63</v>
      </c>
      <c r="T59" s="22">
        <f t="shared" si="10"/>
        <v>0.29013024226887901</v>
      </c>
      <c r="U59" s="24">
        <f>S59+dep_pre_eng_nomi!D82</f>
        <v>1376974.63</v>
      </c>
      <c r="V59" s="22">
        <f t="shared" si="11"/>
        <v>0.29013024226887901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1</vt:i4>
      </vt:variant>
    </vt:vector>
  </HeadingPairs>
  <TitlesOfParts>
    <vt:vector size="6" baseType="lpstr">
      <vt:lpstr>notes à faire</vt:lpstr>
      <vt:lpstr>dep_pre_eng_2010</vt:lpstr>
      <vt:lpstr>DEP_ACP_VULN2010</vt:lpstr>
      <vt:lpstr>dep_pre_eng_nomi</vt:lpstr>
      <vt:lpstr>DEPCONTRACPVULN</vt:lpstr>
      <vt:lpstr>Evolution_DEPCONTR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</dc:creator>
  <cp:lastModifiedBy>Zardoz</cp:lastModifiedBy>
  <dcterms:created xsi:type="dcterms:W3CDTF">2019-05-24T14:00:08Z</dcterms:created>
  <dcterms:modified xsi:type="dcterms:W3CDTF">2019-06-19T08:32:17Z</dcterms:modified>
</cp:coreProperties>
</file>