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0835" windowHeight="10050" activeTab="2"/>
  </bookViews>
  <sheets>
    <sheet name="data_depcontr" sheetId="1" r:id="rId1"/>
    <sheet name="dicovar" sheetId="2" r:id="rId2"/>
    <sheet name="Feuil1" sheetId="3" r:id="rId3"/>
  </sheets>
  <calcPr calcId="145621"/>
</workbook>
</file>

<file path=xl/calcChain.xml><?xml version="1.0" encoding="utf-8"?>
<calcChain xmlns="http://schemas.openxmlformats.org/spreadsheetml/2006/main">
  <c r="K59" i="1" l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G2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<sst xmlns="http://schemas.openxmlformats.org/spreadsheetml/2006/main" count="68" uniqueCount="41">
  <si>
    <t>Annee</t>
  </si>
  <si>
    <t>trend</t>
  </si>
  <si>
    <t>Wdepcontr</t>
  </si>
  <si>
    <t>Wdepcontrdb</t>
  </si>
  <si>
    <t>ipstonecontr</t>
  </si>
  <si>
    <t>RDBnom</t>
  </si>
  <si>
    <t>IPC2010</t>
  </si>
  <si>
    <t>lnRDBIPC10</t>
  </si>
  <si>
    <t>lnRDBSt10</t>
  </si>
  <si>
    <t>RDBLIB</t>
  </si>
  <si>
    <t>depcontrnom</t>
  </si>
  <si>
    <t>deparbnom</t>
  </si>
  <si>
    <t>IPCONTR10</t>
  </si>
  <si>
    <t>IPARB10</t>
  </si>
  <si>
    <t>deptotnom</t>
  </si>
  <si>
    <t>lnRDBLIB10</t>
  </si>
  <si>
    <t>year</t>
  </si>
  <si>
    <t>trend since 1959=1</t>
  </si>
  <si>
    <t>share of constrained expenditures relative to total expenditures</t>
  </si>
  <si>
    <t>share of constrained expenditures relative to disposable income</t>
  </si>
  <si>
    <t>Label</t>
  </si>
  <si>
    <t>Variable</t>
  </si>
  <si>
    <t>unit</t>
  </si>
  <si>
    <t>integer</t>
  </si>
  <si>
    <t>proportion</t>
  </si>
  <si>
    <t>index</t>
  </si>
  <si>
    <t>Stone index of constrained expenditures by component</t>
  </si>
  <si>
    <t>nominal disposable income (RDB)</t>
  </si>
  <si>
    <t>Mega €</t>
  </si>
  <si>
    <t>natural log of real disposable income, deflated by Stone index</t>
  </si>
  <si>
    <t>Mega € 2010</t>
  </si>
  <si>
    <t>Consumption price index, base 2010</t>
  </si>
  <si>
    <t>log of real disposable income deflated by CPI 2010</t>
  </si>
  <si>
    <t>Nominal Real disposable income net of constrained expenditures</t>
  </si>
  <si>
    <t>log of real disposable net of constrained exp</t>
  </si>
  <si>
    <t>nominal constrained expenditures</t>
  </si>
  <si>
    <t>abitrable expeditures == total consumption - constrained consumption</t>
  </si>
  <si>
    <t>total consumption expenditures</t>
  </si>
  <si>
    <t>constrained expenditures price index, base 2010</t>
  </si>
  <si>
    <t>abitrable expenditures price index, base 2010</t>
  </si>
  <si>
    <t>http://www.sthda.com/english/wiki/be-awesome-in-ggplot2-a-practical-guide-to-be-highly-effective-r-software-and-data-visualization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</si>
</sst>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0"/>
  </numFmts>
  <fonts count="1" x14ac:knownFonts="1">
    <font>
      <sz val="10"/>
      <color theme="1"/>
      <name val="DejaVu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2" borderId="0" xfId="0" applyNumberFormat="1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workbookViewId="0">
      <pane ySplit="1" topLeftCell="A2" activePane="bottomLeft" state="frozen"/>
      <selection pane="bottomLeft" sqref="A1:XFD1"/>
    </sheetView>
  </sheetViews>
  <sheetFormatPr baseColWidth="10" defaultRowHeight="12.75" x14ac:dyDescent="0.2"/>
  <cols>
    <col min="1" max="1" width="5.75" bestFit="1" customWidth="1"/>
    <col min="2" max="2" width="5.125" bestFit="1" customWidth="1"/>
    <col min="3" max="3" width="9.625" bestFit="1" customWidth="1"/>
    <col min="4" max="4" width="11.625" bestFit="1" customWidth="1"/>
    <col min="5" max="5" width="10.875" bestFit="1" customWidth="1"/>
    <col min="6" max="6" width="11.875" bestFit="1" customWidth="1"/>
    <col min="7" max="7" width="10" bestFit="1" customWidth="1"/>
    <col min="8" max="8" width="7.875" bestFit="1" customWidth="1"/>
    <col min="9" max="9" width="11.25" bestFit="1" customWidth="1"/>
    <col min="10" max="11" width="8.375" customWidth="1"/>
    <col min="16" max="16" width="8.37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8</v>
      </c>
      <c r="H1" t="s">
        <v>6</v>
      </c>
      <c r="I1" t="s">
        <v>7</v>
      </c>
      <c r="J1" t="s">
        <v>9</v>
      </c>
      <c r="K1" t="s">
        <v>15</v>
      </c>
      <c r="L1" s="5" t="s">
        <v>10</v>
      </c>
      <c r="M1" s="6" t="s">
        <v>11</v>
      </c>
      <c r="N1" s="7" t="s">
        <v>14</v>
      </c>
      <c r="O1" t="s">
        <v>12</v>
      </c>
      <c r="P1" t="s">
        <v>13</v>
      </c>
    </row>
    <row r="2" spans="1:16" x14ac:dyDescent="0.2">
      <c r="A2">
        <v>1959</v>
      </c>
      <c r="B2">
        <v>1</v>
      </c>
      <c r="C2" s="1">
        <v>0.14678000000000002</v>
      </c>
      <c r="D2" s="1">
        <v>0.12346</v>
      </c>
      <c r="E2" s="3">
        <v>-1.1901832374733525</v>
      </c>
      <c r="F2" s="4">
        <v>28689.9</v>
      </c>
      <c r="G2" s="1">
        <f t="shared" ref="G2:G59" si="0">LN(F2)-E2</f>
        <v>11.454483660907659</v>
      </c>
      <c r="H2" s="1">
        <v>0.10557</v>
      </c>
      <c r="I2" s="1">
        <f>LN(F2/H2)</f>
        <v>12.512681462414839</v>
      </c>
      <c r="J2" s="4">
        <f>F2*(1-D2)</f>
        <v>25147.844946000001</v>
      </c>
      <c r="K2" s="1">
        <f>LN(J2/P2)</f>
        <v>12.245567174935418</v>
      </c>
      <c r="L2" s="4">
        <v>3542.038</v>
      </c>
      <c r="M2" s="4">
        <v>20589.736000000001</v>
      </c>
      <c r="N2" s="4">
        <v>24131.774000000001</v>
      </c>
      <c r="O2" s="1">
        <v>6.6159999999999997E-2</v>
      </c>
      <c r="P2" s="1">
        <v>0.12086999999999999</v>
      </c>
    </row>
    <row r="3" spans="1:16" x14ac:dyDescent="0.2">
      <c r="A3">
        <v>1960</v>
      </c>
      <c r="B3">
        <v>2</v>
      </c>
      <c r="C3" s="1">
        <v>0.15289999999999998</v>
      </c>
      <c r="D3" s="1">
        <v>0.12534999999999999</v>
      </c>
      <c r="E3" s="3">
        <v>-1.15011402208206</v>
      </c>
      <c r="F3" s="4">
        <v>31911.7</v>
      </c>
      <c r="G3" s="1">
        <f t="shared" si="0"/>
        <v>11.520842014770771</v>
      </c>
      <c r="H3" s="1">
        <v>0.10896</v>
      </c>
      <c r="I3" s="1">
        <f t="shared" ref="I3:I59" si="1">LN(F3/H3)</f>
        <v>12.587502429269644</v>
      </c>
      <c r="J3" s="4">
        <f t="shared" ref="J3:J59" si="2">F3*(1-D3)</f>
        <v>27911.568405000002</v>
      </c>
      <c r="K3" s="1">
        <f t="shared" ref="K3:K59" si="3">LN(J3/P3)</f>
        <v>12.323867088887175</v>
      </c>
      <c r="L3" s="4">
        <v>4000.0880000000002</v>
      </c>
      <c r="M3" s="4">
        <v>22160.696</v>
      </c>
      <c r="N3" s="4">
        <v>26160.784</v>
      </c>
      <c r="O3" s="1">
        <v>7.0499999999999993E-2</v>
      </c>
      <c r="P3" s="1">
        <v>0.12404999999999999</v>
      </c>
    </row>
    <row r="4" spans="1:16" x14ac:dyDescent="0.2">
      <c r="A4">
        <v>1961</v>
      </c>
      <c r="B4">
        <v>3</v>
      </c>
      <c r="C4" s="1">
        <v>0.15725</v>
      </c>
      <c r="D4" s="1">
        <v>0.13019</v>
      </c>
      <c r="E4" s="3">
        <v>-1.1287581204717787</v>
      </c>
      <c r="F4" s="4">
        <v>34435.5</v>
      </c>
      <c r="G4" s="1">
        <f t="shared" si="0"/>
        <v>11.575601408455515</v>
      </c>
      <c r="H4" s="1">
        <v>0.11221</v>
      </c>
      <c r="I4" s="1">
        <f t="shared" si="1"/>
        <v>12.634226451289098</v>
      </c>
      <c r="J4" s="4">
        <f t="shared" si="2"/>
        <v>29952.342255</v>
      </c>
      <c r="K4" s="1">
        <f t="shared" si="3"/>
        <v>12.369436053513629</v>
      </c>
      <c r="L4" s="4">
        <v>4483.2079999999996</v>
      </c>
      <c r="M4" s="4">
        <v>24025.991999999998</v>
      </c>
      <c r="N4" s="4">
        <v>28509.200000000001</v>
      </c>
      <c r="O4" s="1">
        <v>7.4389999999999998E-2</v>
      </c>
      <c r="P4" s="1">
        <v>0.12719</v>
      </c>
    </row>
    <row r="5" spans="1:16" x14ac:dyDescent="0.2">
      <c r="A5">
        <v>1962</v>
      </c>
      <c r="B5">
        <v>4</v>
      </c>
      <c r="C5" s="1">
        <v>0.16255</v>
      </c>
      <c r="D5" s="1">
        <v>0.13109000000000001</v>
      </c>
      <c r="E5" s="3">
        <v>-1.0869046760062406</v>
      </c>
      <c r="F5" s="4">
        <v>39577.800000000003</v>
      </c>
      <c r="G5" s="1">
        <f t="shared" si="0"/>
        <v>11.672928309989874</v>
      </c>
      <c r="H5" s="1">
        <v>0.11699999999999999</v>
      </c>
      <c r="I5" s="1">
        <f t="shared" si="1"/>
        <v>12.731604978168015</v>
      </c>
      <c r="J5" s="4">
        <f t="shared" si="2"/>
        <v>34389.546198000004</v>
      </c>
      <c r="K5" s="1">
        <f t="shared" si="3"/>
        <v>12.469931101511092</v>
      </c>
      <c r="L5" s="4">
        <v>5188.2089999999998</v>
      </c>
      <c r="M5" s="4">
        <v>26730.077000000001</v>
      </c>
      <c r="N5" s="4">
        <v>31918.286</v>
      </c>
      <c r="O5" s="1">
        <v>7.9240000000000005E-2</v>
      </c>
      <c r="P5" s="1">
        <v>0.13207000000000002</v>
      </c>
    </row>
    <row r="6" spans="1:16" x14ac:dyDescent="0.2">
      <c r="A6">
        <v>1963</v>
      </c>
      <c r="B6">
        <v>5</v>
      </c>
      <c r="C6" s="1">
        <v>0.17029</v>
      </c>
      <c r="D6" s="1">
        <v>0.13857</v>
      </c>
      <c r="E6" s="3">
        <v>-1.0636521915151673</v>
      </c>
      <c r="F6" s="4">
        <v>44090.9</v>
      </c>
      <c r="G6" s="1">
        <f t="shared" si="0"/>
        <v>11.757660882450828</v>
      </c>
      <c r="H6" s="1">
        <v>0.12266000000000001</v>
      </c>
      <c r="I6" s="1">
        <f t="shared" si="1"/>
        <v>12.792347669719961</v>
      </c>
      <c r="J6" s="4">
        <f t="shared" si="2"/>
        <v>37981.223987000005</v>
      </c>
      <c r="K6" s="1">
        <f t="shared" si="3"/>
        <v>12.527162041941972</v>
      </c>
      <c r="L6" s="4">
        <v>6109.6180000000004</v>
      </c>
      <c r="M6" s="4">
        <v>29767.628000000001</v>
      </c>
      <c r="N6" s="4">
        <v>35877.247000000003</v>
      </c>
      <c r="O6" s="1">
        <v>8.5210000000000008E-2</v>
      </c>
      <c r="P6" s="1">
        <v>0.13775000000000001</v>
      </c>
    </row>
    <row r="7" spans="1:16" x14ac:dyDescent="0.2">
      <c r="A7">
        <v>1964</v>
      </c>
      <c r="B7">
        <v>6</v>
      </c>
      <c r="C7" s="1">
        <v>0.17463000000000001</v>
      </c>
      <c r="D7" s="1">
        <v>0.1426</v>
      </c>
      <c r="E7" s="3">
        <v>-1.0429528012850346</v>
      </c>
      <c r="F7" s="4">
        <v>47882.1</v>
      </c>
      <c r="G7" s="1">
        <f t="shared" si="0"/>
        <v>11.819449819644261</v>
      </c>
      <c r="H7" s="1">
        <v>0.12670000000000001</v>
      </c>
      <c r="I7" s="1">
        <f t="shared" si="1"/>
        <v>12.842430210014269</v>
      </c>
      <c r="J7" s="4">
        <f t="shared" si="2"/>
        <v>41054.112539999995</v>
      </c>
      <c r="K7" s="1">
        <f t="shared" si="3"/>
        <v>12.577607278116696</v>
      </c>
      <c r="L7" s="4">
        <v>6828.1980000000003</v>
      </c>
      <c r="M7" s="4">
        <v>32273.34</v>
      </c>
      <c r="N7" s="4">
        <v>39101.538</v>
      </c>
      <c r="O7" s="1">
        <v>9.0200000000000002E-2</v>
      </c>
      <c r="P7" s="1">
        <v>0.14157</v>
      </c>
    </row>
    <row r="8" spans="1:16" x14ac:dyDescent="0.2">
      <c r="A8">
        <v>1965</v>
      </c>
      <c r="B8">
        <v>7</v>
      </c>
      <c r="C8" s="1">
        <v>0.18484999999999999</v>
      </c>
      <c r="D8" s="1">
        <v>0.14978999999999998</v>
      </c>
      <c r="E8" s="3">
        <v>-0.93025831529055403</v>
      </c>
      <c r="F8" s="4">
        <v>51445.7</v>
      </c>
      <c r="G8" s="1">
        <f t="shared" si="0"/>
        <v>11.778540476772401</v>
      </c>
      <c r="H8" s="1">
        <v>0.13005</v>
      </c>
      <c r="I8" s="1">
        <f t="shared" si="1"/>
        <v>12.888118448569323</v>
      </c>
      <c r="J8" s="4">
        <f t="shared" si="2"/>
        <v>43739.648596999999</v>
      </c>
      <c r="K8" s="1">
        <f t="shared" si="3"/>
        <v>12.623327434930889</v>
      </c>
      <c r="L8" s="4">
        <v>7706.2719999999999</v>
      </c>
      <c r="M8" s="4">
        <v>33983.911</v>
      </c>
      <c r="N8" s="4">
        <v>41690.182999999997</v>
      </c>
      <c r="O8" s="1">
        <v>9.6189999999999998E-2</v>
      </c>
      <c r="P8" s="1">
        <v>0.14409</v>
      </c>
    </row>
    <row r="9" spans="1:16" x14ac:dyDescent="0.2">
      <c r="A9">
        <v>1966</v>
      </c>
      <c r="B9">
        <v>8</v>
      </c>
      <c r="C9" s="1">
        <v>0.19178999999999999</v>
      </c>
      <c r="D9" s="1">
        <v>0.15533</v>
      </c>
      <c r="E9" s="3">
        <v>-0.8843398159115724</v>
      </c>
      <c r="F9" s="4">
        <v>55574.7</v>
      </c>
      <c r="G9" s="1">
        <f t="shared" si="0"/>
        <v>11.809823156618737</v>
      </c>
      <c r="H9" s="1">
        <v>0.13397000000000001</v>
      </c>
      <c r="I9" s="1">
        <f t="shared" si="1"/>
        <v>12.935622725400409</v>
      </c>
      <c r="J9" s="4">
        <f t="shared" si="2"/>
        <v>46942.281848999999</v>
      </c>
      <c r="K9" s="1">
        <f t="shared" si="3"/>
        <v>12.671075872380539</v>
      </c>
      <c r="L9" s="4">
        <v>8632.2929999999997</v>
      </c>
      <c r="M9" s="4">
        <v>36376.440999999999</v>
      </c>
      <c r="N9" s="4">
        <v>45008.733999999997</v>
      </c>
      <c r="O9" s="1">
        <v>0.10199</v>
      </c>
      <c r="P9" s="1">
        <v>0.14743000000000001</v>
      </c>
    </row>
    <row r="10" spans="1:16" x14ac:dyDescent="0.2">
      <c r="A10">
        <v>1967</v>
      </c>
      <c r="B10">
        <v>9</v>
      </c>
      <c r="C10" s="1">
        <v>0.20396999999999998</v>
      </c>
      <c r="D10" s="1">
        <v>0.16417999999999999</v>
      </c>
      <c r="E10" s="3">
        <v>-0.82650146679233027</v>
      </c>
      <c r="F10" s="4">
        <v>60552.9</v>
      </c>
      <c r="G10" s="1">
        <f t="shared" si="0"/>
        <v>11.837774108928903</v>
      </c>
      <c r="H10" s="1">
        <v>0.13818</v>
      </c>
      <c r="I10" s="1">
        <f t="shared" si="1"/>
        <v>12.990470738058061</v>
      </c>
      <c r="J10" s="4">
        <f t="shared" si="2"/>
        <v>50611.324877999999</v>
      </c>
      <c r="K10" s="1">
        <f t="shared" si="3"/>
        <v>12.725589955308511</v>
      </c>
      <c r="L10" s="4">
        <v>9941.7170000000006</v>
      </c>
      <c r="M10" s="4">
        <v>38799.182999999997</v>
      </c>
      <c r="N10" s="4">
        <v>48740.9</v>
      </c>
      <c r="O10" s="1">
        <v>0.10958999999999999</v>
      </c>
      <c r="P10" s="1">
        <v>0.15051999999999999</v>
      </c>
    </row>
    <row r="11" spans="1:16" x14ac:dyDescent="0.2">
      <c r="A11">
        <v>1968</v>
      </c>
      <c r="B11">
        <v>10</v>
      </c>
      <c r="C11" s="1">
        <v>0.21449000000000001</v>
      </c>
      <c r="D11" s="1">
        <v>0.17230000000000001</v>
      </c>
      <c r="E11" s="3">
        <v>-0.78270708568914138</v>
      </c>
      <c r="F11" s="4">
        <v>66481.600000000006</v>
      </c>
      <c r="G11" s="1">
        <f t="shared" si="0"/>
        <v>11.887387582317544</v>
      </c>
      <c r="H11" s="1">
        <v>0.14513999999999999</v>
      </c>
      <c r="I11" s="1">
        <f t="shared" si="1"/>
        <v>13.034736981760549</v>
      </c>
      <c r="J11" s="4">
        <f t="shared" si="2"/>
        <v>55026.820320000006</v>
      </c>
      <c r="K11" s="1">
        <f t="shared" si="3"/>
        <v>12.766130503276177</v>
      </c>
      <c r="L11" s="4">
        <v>11454.617</v>
      </c>
      <c r="M11" s="4">
        <v>41948.985000000001</v>
      </c>
      <c r="N11" s="4">
        <v>53403.601999999999</v>
      </c>
      <c r="O11" s="1">
        <v>0.11774</v>
      </c>
      <c r="P11" s="1">
        <v>0.15715000000000001</v>
      </c>
    </row>
    <row r="12" spans="1:16" x14ac:dyDescent="0.2">
      <c r="A12">
        <v>1969</v>
      </c>
      <c r="B12">
        <v>11</v>
      </c>
      <c r="C12" s="1">
        <v>0.22512000000000001</v>
      </c>
      <c r="D12" s="1">
        <v>0.18381</v>
      </c>
      <c r="E12" s="3">
        <v>-0.66024651824237912</v>
      </c>
      <c r="F12" s="4">
        <v>74577.8</v>
      </c>
      <c r="G12" s="1">
        <f t="shared" si="0"/>
        <v>11.879844673015027</v>
      </c>
      <c r="H12" s="1">
        <v>0.15543999999999999</v>
      </c>
      <c r="I12" s="1">
        <f t="shared" si="1"/>
        <v>13.081093628685601</v>
      </c>
      <c r="J12" s="4">
        <f t="shared" si="2"/>
        <v>60869.654582000003</v>
      </c>
      <c r="K12" s="1">
        <f t="shared" si="3"/>
        <v>12.802963511586935</v>
      </c>
      <c r="L12" s="4">
        <v>13708.499</v>
      </c>
      <c r="M12" s="4">
        <v>47186.288</v>
      </c>
      <c r="N12" s="4">
        <v>60894.786999999997</v>
      </c>
      <c r="O12" s="1">
        <v>0.12808</v>
      </c>
      <c r="P12" s="1">
        <v>0.16754999999999998</v>
      </c>
    </row>
    <row r="13" spans="1:16" x14ac:dyDescent="0.2">
      <c r="A13">
        <v>1970</v>
      </c>
      <c r="B13">
        <v>12</v>
      </c>
      <c r="C13" s="1">
        <v>0.23347999999999999</v>
      </c>
      <c r="D13" s="1">
        <v>0.18583</v>
      </c>
      <c r="E13" s="3">
        <v>-0.61449542847787164</v>
      </c>
      <c r="F13" s="4">
        <v>83989.2</v>
      </c>
      <c r="G13" s="1">
        <f t="shared" si="0"/>
        <v>11.952938926608736</v>
      </c>
      <c r="H13" s="1">
        <v>0.16324000000000002</v>
      </c>
      <c r="I13" s="1">
        <f t="shared" si="1"/>
        <v>13.150977266575396</v>
      </c>
      <c r="J13" s="4">
        <f t="shared" si="2"/>
        <v>68381.486963999996</v>
      </c>
      <c r="K13" s="1">
        <f t="shared" si="3"/>
        <v>12.875998156880597</v>
      </c>
      <c r="L13" s="4">
        <v>15607.799000000001</v>
      </c>
      <c r="M13" s="4">
        <v>51241.896000000001</v>
      </c>
      <c r="N13" s="4">
        <v>66849.695999999996</v>
      </c>
      <c r="O13" s="1">
        <v>0.13702</v>
      </c>
      <c r="P13" s="1">
        <v>0.17496999999999999</v>
      </c>
    </row>
    <row r="14" spans="1:16" x14ac:dyDescent="0.2">
      <c r="A14">
        <v>1971</v>
      </c>
      <c r="B14">
        <v>13</v>
      </c>
      <c r="C14" s="1">
        <v>0.23587</v>
      </c>
      <c r="D14" s="1">
        <v>0.18790999999999999</v>
      </c>
      <c r="E14" s="3">
        <v>-0.56707919246305982</v>
      </c>
      <c r="F14" s="4">
        <v>93629.1</v>
      </c>
      <c r="G14" s="1">
        <f t="shared" si="0"/>
        <v>12.014175704046048</v>
      </c>
      <c r="H14" s="1">
        <v>0.17247000000000001</v>
      </c>
      <c r="I14" s="1">
        <f t="shared" si="1"/>
        <v>13.204628482261816</v>
      </c>
      <c r="J14" s="4">
        <f t="shared" si="2"/>
        <v>76035.255818999998</v>
      </c>
      <c r="K14" s="1">
        <f t="shared" si="3"/>
        <v>12.931011345181375</v>
      </c>
      <c r="L14" s="4">
        <v>17594.249</v>
      </c>
      <c r="M14" s="4">
        <v>56999.457000000002</v>
      </c>
      <c r="N14" s="4">
        <v>74593.706000000006</v>
      </c>
      <c r="O14" s="1">
        <v>0.14660999999999999</v>
      </c>
      <c r="P14" s="1">
        <v>0.18414000000000003</v>
      </c>
    </row>
    <row r="15" spans="1:16" x14ac:dyDescent="0.2">
      <c r="A15">
        <v>1972</v>
      </c>
      <c r="B15">
        <v>14</v>
      </c>
      <c r="C15" s="1">
        <v>0.23498000000000002</v>
      </c>
      <c r="D15" s="1">
        <v>0.18598999999999999</v>
      </c>
      <c r="E15" s="3">
        <v>-0.54706338448140324</v>
      </c>
      <c r="F15" s="4">
        <v>104922.5</v>
      </c>
      <c r="G15" s="1">
        <f t="shared" si="0"/>
        <v>12.108040645856569</v>
      </c>
      <c r="H15" s="1">
        <v>0.18257999999999999</v>
      </c>
      <c r="I15" s="1">
        <f t="shared" si="1"/>
        <v>13.261544107220368</v>
      </c>
      <c r="J15" s="4">
        <f t="shared" si="2"/>
        <v>85407.964225000003</v>
      </c>
      <c r="K15" s="1">
        <f t="shared" si="3"/>
        <v>12.989642708770663</v>
      </c>
      <c r="L15" s="4">
        <v>19514.217000000001</v>
      </c>
      <c r="M15" s="4">
        <v>63531.94</v>
      </c>
      <c r="N15" s="4">
        <v>83046.157000000007</v>
      </c>
      <c r="O15" s="1">
        <v>0.15492</v>
      </c>
      <c r="P15" s="1">
        <v>0.19506000000000001</v>
      </c>
    </row>
    <row r="16" spans="1:16" x14ac:dyDescent="0.2">
      <c r="A16">
        <v>1973</v>
      </c>
      <c r="B16">
        <v>15</v>
      </c>
      <c r="C16" s="1">
        <v>0.23960999999999999</v>
      </c>
      <c r="D16" s="1">
        <v>0.1895</v>
      </c>
      <c r="E16" s="3">
        <v>-0.47812935910578724</v>
      </c>
      <c r="F16" s="4">
        <v>118923.4</v>
      </c>
      <c r="G16" s="1">
        <f t="shared" si="0"/>
        <v>12.164364226458293</v>
      </c>
      <c r="H16" s="1">
        <v>0.19585999999999998</v>
      </c>
      <c r="I16" s="1">
        <f t="shared" si="1"/>
        <v>13.316590028041993</v>
      </c>
      <c r="J16" s="4">
        <f t="shared" si="2"/>
        <v>96387.415699999998</v>
      </c>
      <c r="K16" s="1">
        <f t="shared" si="3"/>
        <v>13.042653041003367</v>
      </c>
      <c r="L16" s="4">
        <v>22535.498</v>
      </c>
      <c r="M16" s="4">
        <v>71515.627999999997</v>
      </c>
      <c r="N16" s="4">
        <v>94051.126000000004</v>
      </c>
      <c r="O16" s="1">
        <v>0.16739000000000001</v>
      </c>
      <c r="P16" s="1">
        <v>0.20876999999999998</v>
      </c>
    </row>
    <row r="17" spans="1:16" x14ac:dyDescent="0.2">
      <c r="A17">
        <v>1974</v>
      </c>
      <c r="B17">
        <v>16</v>
      </c>
      <c r="C17" s="1">
        <v>0.24933</v>
      </c>
      <c r="D17" s="1">
        <v>0.19582999999999998</v>
      </c>
      <c r="E17" s="3">
        <v>-0.44984309403841599</v>
      </c>
      <c r="F17" s="4">
        <v>140846.39999999999</v>
      </c>
      <c r="G17" s="1">
        <f t="shared" si="0"/>
        <v>12.305268307910863</v>
      </c>
      <c r="H17" s="1">
        <v>0.22402999999999998</v>
      </c>
      <c r="I17" s="1">
        <f t="shared" si="1"/>
        <v>13.351400521395748</v>
      </c>
      <c r="J17" s="4">
        <f t="shared" si="2"/>
        <v>113264.449488</v>
      </c>
      <c r="K17" s="1">
        <f t="shared" si="3"/>
        <v>13.067935881410131</v>
      </c>
      <c r="L17" s="4">
        <v>27581.79</v>
      </c>
      <c r="M17" s="4">
        <v>83042.585000000006</v>
      </c>
      <c r="N17" s="4">
        <v>110624.375</v>
      </c>
      <c r="O17" s="1">
        <v>0.19048999999999999</v>
      </c>
      <c r="P17" s="1">
        <v>0.23920000000000002</v>
      </c>
    </row>
    <row r="18" spans="1:16" x14ac:dyDescent="0.2">
      <c r="A18">
        <v>1975</v>
      </c>
      <c r="B18">
        <v>17</v>
      </c>
      <c r="C18" s="1">
        <v>0.24387</v>
      </c>
      <c r="D18" s="1">
        <v>0.18959000000000001</v>
      </c>
      <c r="E18" s="3">
        <v>-0.36073773217913618</v>
      </c>
      <c r="F18" s="4">
        <v>162035.5</v>
      </c>
      <c r="G18" s="1">
        <f t="shared" si="0"/>
        <v>12.356308458189384</v>
      </c>
      <c r="H18" s="1">
        <v>0.25014999999999998</v>
      </c>
      <c r="I18" s="1">
        <f t="shared" si="1"/>
        <v>13.38126526705817</v>
      </c>
      <c r="J18" s="4">
        <f t="shared" si="2"/>
        <v>131315.18955499999</v>
      </c>
      <c r="K18" s="1">
        <f t="shared" si="3"/>
        <v>13.104327957327577</v>
      </c>
      <c r="L18" s="4">
        <v>30720.128000000001</v>
      </c>
      <c r="M18" s="4">
        <v>95250.527000000002</v>
      </c>
      <c r="N18" s="4">
        <v>125970.655</v>
      </c>
      <c r="O18" s="1">
        <v>0.21190000000000001</v>
      </c>
      <c r="P18" s="1">
        <v>0.26740999999999998</v>
      </c>
    </row>
    <row r="19" spans="1:16" x14ac:dyDescent="0.2">
      <c r="A19">
        <v>1976</v>
      </c>
      <c r="B19">
        <v>18</v>
      </c>
      <c r="C19" s="1">
        <v>0.24734999999999999</v>
      </c>
      <c r="D19" s="1">
        <v>0.19803999999999999</v>
      </c>
      <c r="E19" s="3">
        <v>-0.26399016236008005</v>
      </c>
      <c r="F19" s="4">
        <v>181938.6</v>
      </c>
      <c r="G19" s="1">
        <f t="shared" si="0"/>
        <v>12.375414708862074</v>
      </c>
      <c r="H19" s="1">
        <v>0.27426</v>
      </c>
      <c r="I19" s="1">
        <f t="shared" si="1"/>
        <v>13.405103263912423</v>
      </c>
      <c r="J19" s="4">
        <f t="shared" si="2"/>
        <v>145907.47965600001</v>
      </c>
      <c r="K19" s="1">
        <f t="shared" si="3"/>
        <v>13.12399230779217</v>
      </c>
      <c r="L19" s="4">
        <v>36031.892999999996</v>
      </c>
      <c r="M19" s="4">
        <v>109638.833</v>
      </c>
      <c r="N19" s="4">
        <v>145670.72700000001</v>
      </c>
      <c r="O19" s="1">
        <v>0.2369</v>
      </c>
      <c r="P19" s="1">
        <v>0.29133999999999999</v>
      </c>
    </row>
    <row r="20" spans="1:16" x14ac:dyDescent="0.2">
      <c r="A20">
        <v>1977</v>
      </c>
      <c r="B20">
        <v>19</v>
      </c>
      <c r="C20" s="1">
        <v>0.25008999999999998</v>
      </c>
      <c r="D20" s="1">
        <v>0.19985</v>
      </c>
      <c r="E20" s="3">
        <v>-0.19420120965696411</v>
      </c>
      <c r="F20" s="4">
        <v>204453.3</v>
      </c>
      <c r="G20" s="1">
        <f t="shared" si="0"/>
        <v>12.422296076185226</v>
      </c>
      <c r="H20" s="1">
        <v>0.29985000000000001</v>
      </c>
      <c r="I20" s="1">
        <f t="shared" si="1"/>
        <v>13.432567795895881</v>
      </c>
      <c r="J20" s="4">
        <f t="shared" si="2"/>
        <v>163593.30799500001</v>
      </c>
      <c r="K20" s="1">
        <f t="shared" si="3"/>
        <v>13.148926292317363</v>
      </c>
      <c r="L20" s="4">
        <v>40860.898999999998</v>
      </c>
      <c r="M20" s="4">
        <v>122526.05499999999</v>
      </c>
      <c r="N20" s="4">
        <v>163386.95499999999</v>
      </c>
      <c r="O20" s="1">
        <v>0.25879999999999997</v>
      </c>
      <c r="P20" s="1">
        <v>0.31861</v>
      </c>
    </row>
    <row r="21" spans="1:16" x14ac:dyDescent="0.2">
      <c r="A21">
        <v>1978</v>
      </c>
      <c r="B21">
        <v>20</v>
      </c>
      <c r="C21" s="1">
        <v>0.25408000000000003</v>
      </c>
      <c r="D21" s="1">
        <v>0.19907</v>
      </c>
      <c r="E21" s="3">
        <v>-0.11104364331481514</v>
      </c>
      <c r="F21" s="4">
        <v>235597.8</v>
      </c>
      <c r="G21" s="1">
        <f t="shared" si="0"/>
        <v>12.480925036170005</v>
      </c>
      <c r="H21" s="1">
        <v>0.32594999999999996</v>
      </c>
      <c r="I21" s="1">
        <f t="shared" si="1"/>
        <v>13.490892676466778</v>
      </c>
      <c r="J21" s="4">
        <f t="shared" si="2"/>
        <v>188697.34595399999</v>
      </c>
      <c r="K21" s="1">
        <f t="shared" si="3"/>
        <v>13.209505229400083</v>
      </c>
      <c r="L21" s="4">
        <v>46900.517999999996</v>
      </c>
      <c r="M21" s="4">
        <v>137689.50399999999</v>
      </c>
      <c r="N21" s="4">
        <v>184590.022</v>
      </c>
      <c r="O21" s="1">
        <v>0.28237000000000001</v>
      </c>
      <c r="P21" s="1">
        <v>0.34590000000000004</v>
      </c>
    </row>
    <row r="22" spans="1:16" x14ac:dyDescent="0.2">
      <c r="A22">
        <v>1979</v>
      </c>
      <c r="B22">
        <v>21</v>
      </c>
      <c r="C22" s="1">
        <v>0.25891999999999998</v>
      </c>
      <c r="D22" s="1">
        <v>0.20801999999999998</v>
      </c>
      <c r="E22" s="3">
        <v>-3.9015076509683347E-2</v>
      </c>
      <c r="F22" s="4">
        <v>263596.79999999999</v>
      </c>
      <c r="G22" s="1">
        <f t="shared" si="0"/>
        <v>12.521191018441025</v>
      </c>
      <c r="H22" s="1">
        <v>0.36158000000000001</v>
      </c>
      <c r="I22" s="1">
        <f t="shared" si="1"/>
        <v>13.499447903659609</v>
      </c>
      <c r="J22" s="4">
        <f t="shared" si="2"/>
        <v>208763.393664</v>
      </c>
      <c r="K22" s="1">
        <f t="shared" si="3"/>
        <v>13.210663397324165</v>
      </c>
      <c r="L22" s="4">
        <v>54832.923000000003</v>
      </c>
      <c r="M22" s="4">
        <v>156943.07800000001</v>
      </c>
      <c r="N22" s="4">
        <v>211776.00099999999</v>
      </c>
      <c r="O22" s="1">
        <v>0.31674000000000002</v>
      </c>
      <c r="P22" s="1">
        <v>0.38223999999999997</v>
      </c>
    </row>
    <row r="23" spans="1:16" x14ac:dyDescent="0.2">
      <c r="A23">
        <v>1980</v>
      </c>
      <c r="B23">
        <v>22</v>
      </c>
      <c r="C23" s="1">
        <v>0.27037</v>
      </c>
      <c r="D23" s="1">
        <v>0.21854999999999999</v>
      </c>
      <c r="E23" s="3">
        <v>2.1332198779228526E-2</v>
      </c>
      <c r="F23" s="4">
        <v>299749.59999999998</v>
      </c>
      <c r="G23" s="1">
        <f t="shared" si="0"/>
        <v>12.589370539664269</v>
      </c>
      <c r="H23" s="1">
        <v>0.40881999999999996</v>
      </c>
      <c r="I23" s="1">
        <f t="shared" si="1"/>
        <v>13.505183056053806</v>
      </c>
      <c r="J23" s="4">
        <f t="shared" si="2"/>
        <v>234239.32491999998</v>
      </c>
      <c r="K23" s="1">
        <f t="shared" si="3"/>
        <v>13.209395158799655</v>
      </c>
      <c r="L23" s="4">
        <v>65511.313999999998</v>
      </c>
      <c r="M23" s="4">
        <v>176791.66099999999</v>
      </c>
      <c r="N23" s="4">
        <v>242302.97500000001</v>
      </c>
      <c r="O23" s="1">
        <v>0.3644</v>
      </c>
      <c r="P23" s="1">
        <v>0.42942999999999998</v>
      </c>
    </row>
    <row r="24" spans="1:16" x14ac:dyDescent="0.2">
      <c r="A24">
        <v>1981</v>
      </c>
      <c r="B24">
        <v>23</v>
      </c>
      <c r="C24" s="1">
        <v>0.27577999999999997</v>
      </c>
      <c r="D24" s="1">
        <v>0.22364000000000001</v>
      </c>
      <c r="E24" s="3">
        <v>5.1837709954290309E-2</v>
      </c>
      <c r="F24" s="4">
        <v>346513.1</v>
      </c>
      <c r="G24" s="1">
        <f t="shared" si="0"/>
        <v>12.703838193580959</v>
      </c>
      <c r="H24" s="1">
        <v>0.46456999999999998</v>
      </c>
      <c r="I24" s="1">
        <f t="shared" si="1"/>
        <v>13.522318935940476</v>
      </c>
      <c r="J24" s="4">
        <f t="shared" si="2"/>
        <v>269018.91031599994</v>
      </c>
      <c r="K24" s="1">
        <f t="shared" si="3"/>
        <v>13.227649631252634</v>
      </c>
      <c r="L24" s="4">
        <v>77495.144</v>
      </c>
      <c r="M24" s="4">
        <v>203507.72</v>
      </c>
      <c r="N24" s="4">
        <v>281002.864</v>
      </c>
      <c r="O24" s="1">
        <v>0.42264000000000002</v>
      </c>
      <c r="P24" s="1">
        <v>0.48426999999999998</v>
      </c>
    </row>
    <row r="25" spans="1:16" x14ac:dyDescent="0.2">
      <c r="A25">
        <v>1982</v>
      </c>
      <c r="B25">
        <v>24</v>
      </c>
      <c r="C25" s="1">
        <v>0.27362999999999998</v>
      </c>
      <c r="D25" s="1">
        <v>0.22428999999999999</v>
      </c>
      <c r="E25" s="3">
        <v>0.11831802876820824</v>
      </c>
      <c r="F25" s="4">
        <v>395889.7</v>
      </c>
      <c r="G25" s="1">
        <f t="shared" si="0"/>
        <v>12.770572887316698</v>
      </c>
      <c r="H25" s="1">
        <v>0.51937</v>
      </c>
      <c r="I25" s="1">
        <f t="shared" si="1"/>
        <v>13.544029656459145</v>
      </c>
      <c r="J25" s="4">
        <f t="shared" si="2"/>
        <v>307095.59918700001</v>
      </c>
      <c r="K25" s="1">
        <f t="shared" si="3"/>
        <v>13.251211632806521</v>
      </c>
      <c r="L25" s="4">
        <v>88795.665999999997</v>
      </c>
      <c r="M25" s="4">
        <v>235708.40100000001</v>
      </c>
      <c r="N25" s="4">
        <v>324504.06699999998</v>
      </c>
      <c r="O25" s="1">
        <v>0.47588000000000003</v>
      </c>
      <c r="P25" s="1">
        <v>0.53993999999999998</v>
      </c>
    </row>
    <row r="26" spans="1:16" x14ac:dyDescent="0.2">
      <c r="A26">
        <v>1983</v>
      </c>
      <c r="B26">
        <v>25</v>
      </c>
      <c r="C26" s="1">
        <v>0.28306000000000003</v>
      </c>
      <c r="D26" s="1">
        <v>0.23425000000000001</v>
      </c>
      <c r="E26" s="3">
        <v>0.17492538343163591</v>
      </c>
      <c r="F26" s="4">
        <v>433335.4</v>
      </c>
      <c r="G26" s="1">
        <f t="shared" si="0"/>
        <v>12.804341919551415</v>
      </c>
      <c r="H26" s="1">
        <v>0.56901000000000002</v>
      </c>
      <c r="I26" s="1">
        <f t="shared" si="1"/>
        <v>13.543124573300849</v>
      </c>
      <c r="J26" s="4">
        <f t="shared" si="2"/>
        <v>331826.58254999999</v>
      </c>
      <c r="K26" s="1">
        <f t="shared" si="3"/>
        <v>13.240678707820809</v>
      </c>
      <c r="L26" s="4">
        <v>101509.486</v>
      </c>
      <c r="M26" s="4">
        <v>257111.5</v>
      </c>
      <c r="N26" s="4">
        <v>358620.98599999998</v>
      </c>
      <c r="O26" s="1">
        <v>0.52578000000000003</v>
      </c>
      <c r="P26" s="1">
        <v>0.58960000000000001</v>
      </c>
    </row>
    <row r="27" spans="1:16" x14ac:dyDescent="0.2">
      <c r="A27">
        <v>1984</v>
      </c>
      <c r="B27">
        <v>26</v>
      </c>
      <c r="C27" s="1">
        <v>0.29437999999999998</v>
      </c>
      <c r="D27" s="1">
        <v>0.24824000000000002</v>
      </c>
      <c r="E27" s="3">
        <v>0.2812996503565906</v>
      </c>
      <c r="F27" s="4">
        <v>462165.4</v>
      </c>
      <c r="G27" s="1">
        <f t="shared" si="0"/>
        <v>12.762378464295486</v>
      </c>
      <c r="H27" s="1">
        <v>0.61399999999999999</v>
      </c>
      <c r="I27" s="1">
        <f t="shared" si="1"/>
        <v>13.531438465487071</v>
      </c>
      <c r="J27" s="4">
        <f t="shared" si="2"/>
        <v>347437.46110399999</v>
      </c>
      <c r="K27" s="1">
        <f t="shared" si="3"/>
        <v>13.216035643456564</v>
      </c>
      <c r="L27" s="4">
        <v>114727.037</v>
      </c>
      <c r="M27" s="4">
        <v>274994.69199999998</v>
      </c>
      <c r="N27" s="4">
        <v>389721.72899999999</v>
      </c>
      <c r="O27" s="1">
        <v>0.57491000000000003</v>
      </c>
      <c r="P27" s="1">
        <v>0.63273999999999997</v>
      </c>
    </row>
    <row r="28" spans="1:16" x14ac:dyDescent="0.2">
      <c r="A28">
        <v>1985</v>
      </c>
      <c r="B28">
        <v>27</v>
      </c>
      <c r="C28" s="1">
        <v>0.30034</v>
      </c>
      <c r="D28" s="1">
        <v>0.25624999999999998</v>
      </c>
      <c r="E28" s="3">
        <v>0.35107473818427243</v>
      </c>
      <c r="F28" s="4">
        <v>494454.5</v>
      </c>
      <c r="G28" s="1">
        <f t="shared" si="0"/>
        <v>12.760135675493789</v>
      </c>
      <c r="H28" s="1">
        <v>0.65205000000000002</v>
      </c>
      <c r="I28" s="1">
        <f t="shared" si="1"/>
        <v>13.538844446557286</v>
      </c>
      <c r="J28" s="4">
        <f t="shared" si="2"/>
        <v>367750.53437499999</v>
      </c>
      <c r="K28" s="1">
        <f t="shared" si="3"/>
        <v>13.216907120295515</v>
      </c>
      <c r="L28" s="4">
        <v>126706.211</v>
      </c>
      <c r="M28" s="4">
        <v>295163.35499999998</v>
      </c>
      <c r="N28" s="4">
        <v>421869.56599999999</v>
      </c>
      <c r="O28" s="1">
        <v>0.61654000000000009</v>
      </c>
      <c r="P28" s="1">
        <v>0.66915000000000002</v>
      </c>
    </row>
    <row r="29" spans="1:16" x14ac:dyDescent="0.2">
      <c r="A29">
        <v>1986</v>
      </c>
      <c r="B29">
        <v>28</v>
      </c>
      <c r="C29" s="1">
        <v>0.29575000000000001</v>
      </c>
      <c r="D29" s="1">
        <v>0.25528000000000001</v>
      </c>
      <c r="E29" s="3">
        <v>0.36131936317808849</v>
      </c>
      <c r="F29" s="4">
        <v>520851.3</v>
      </c>
      <c r="G29" s="1">
        <f t="shared" si="0"/>
        <v>12.801900504151522</v>
      </c>
      <c r="H29" s="1">
        <v>0.66965000000000008</v>
      </c>
      <c r="I29" s="1">
        <f t="shared" si="1"/>
        <v>13.564219958478617</v>
      </c>
      <c r="J29" s="4">
        <f t="shared" si="2"/>
        <v>387888.38013599999</v>
      </c>
      <c r="K29" s="1">
        <f t="shared" si="3"/>
        <v>13.241422413587193</v>
      </c>
      <c r="L29" s="4">
        <v>132962.58900000001</v>
      </c>
      <c r="M29" s="4">
        <v>316610.28700000001</v>
      </c>
      <c r="N29" s="4">
        <v>449572.87599999999</v>
      </c>
      <c r="O29" s="1">
        <v>0.62997000000000003</v>
      </c>
      <c r="P29" s="1">
        <v>0.68870000000000009</v>
      </c>
    </row>
    <row r="30" spans="1:16" x14ac:dyDescent="0.2">
      <c r="A30">
        <v>1987</v>
      </c>
      <c r="B30">
        <v>29</v>
      </c>
      <c r="C30" s="1">
        <v>0.29476999999999998</v>
      </c>
      <c r="D30" s="1">
        <v>0.25931999999999999</v>
      </c>
      <c r="E30" s="3">
        <v>0.37344584075341047</v>
      </c>
      <c r="F30" s="4">
        <v>543642.9</v>
      </c>
      <c r="G30" s="1">
        <f t="shared" si="0"/>
        <v>12.832602035714125</v>
      </c>
      <c r="H30" s="1">
        <v>0.68972999999999995</v>
      </c>
      <c r="I30" s="1">
        <f t="shared" si="1"/>
        <v>13.577502938785717</v>
      </c>
      <c r="J30" s="4">
        <f t="shared" si="2"/>
        <v>402665.42317200004</v>
      </c>
      <c r="K30" s="1">
        <f t="shared" si="3"/>
        <v>13.248591054891032</v>
      </c>
      <c r="L30" s="4">
        <v>140978.54999999999</v>
      </c>
      <c r="M30" s="4">
        <v>337294.18599999999</v>
      </c>
      <c r="N30" s="4">
        <v>478272.73599999998</v>
      </c>
      <c r="O30" s="1">
        <v>0.64781000000000011</v>
      </c>
      <c r="P30" s="1">
        <v>0.70983000000000007</v>
      </c>
    </row>
    <row r="31" spans="1:16" x14ac:dyDescent="0.2">
      <c r="A31">
        <v>1988</v>
      </c>
      <c r="B31">
        <v>30</v>
      </c>
      <c r="C31" s="1">
        <v>0.29585</v>
      </c>
      <c r="D31" s="1">
        <v>0.25992999999999999</v>
      </c>
      <c r="E31" s="3">
        <v>0.3554202421936985</v>
      </c>
      <c r="F31" s="4">
        <v>577509.80000000005</v>
      </c>
      <c r="G31" s="1">
        <f t="shared" si="0"/>
        <v>12.911060448737373</v>
      </c>
      <c r="H31" s="1">
        <v>0.70828999999999998</v>
      </c>
      <c r="I31" s="1">
        <f t="shared" si="1"/>
        <v>13.611382355564746</v>
      </c>
      <c r="J31" s="4">
        <f t="shared" si="2"/>
        <v>427397.67768600001</v>
      </c>
      <c r="K31" s="1">
        <f t="shared" si="3"/>
        <v>13.286709044248582</v>
      </c>
      <c r="L31" s="4">
        <v>150110.76300000001</v>
      </c>
      <c r="M31" s="4">
        <v>357274.95699999999</v>
      </c>
      <c r="N31" s="4">
        <v>507385.72</v>
      </c>
      <c r="O31" s="1">
        <v>0.67337000000000002</v>
      </c>
      <c r="P31" s="1">
        <v>0.72525000000000006</v>
      </c>
    </row>
    <row r="32" spans="1:16" x14ac:dyDescent="0.2">
      <c r="A32">
        <v>1989</v>
      </c>
      <c r="B32">
        <v>31</v>
      </c>
      <c r="C32" s="1">
        <v>0.29831000000000002</v>
      </c>
      <c r="D32" s="1">
        <v>0.26106999999999997</v>
      </c>
      <c r="E32" s="3">
        <v>0.34851725503052655</v>
      </c>
      <c r="F32" s="4">
        <v>621289.6</v>
      </c>
      <c r="G32" s="1">
        <f t="shared" si="0"/>
        <v>12.991035341785715</v>
      </c>
      <c r="H32" s="1">
        <v>0.73545000000000005</v>
      </c>
      <c r="I32" s="1">
        <f t="shared" si="1"/>
        <v>13.646825319033026</v>
      </c>
      <c r="J32" s="4">
        <f t="shared" si="2"/>
        <v>459089.52412800002</v>
      </c>
      <c r="K32" s="1">
        <f t="shared" si="3"/>
        <v>13.326030158386622</v>
      </c>
      <c r="L32" s="4">
        <v>162198.052</v>
      </c>
      <c r="M32" s="4">
        <v>381518.38400000002</v>
      </c>
      <c r="N32" s="4">
        <v>543716.43599999999</v>
      </c>
      <c r="O32" s="1">
        <v>0.70823999999999998</v>
      </c>
      <c r="P32" s="1">
        <v>0.74899000000000004</v>
      </c>
    </row>
    <row r="33" spans="1:16" x14ac:dyDescent="0.2">
      <c r="A33">
        <v>1990</v>
      </c>
      <c r="B33">
        <v>32</v>
      </c>
      <c r="C33" s="1">
        <v>0.30131000000000002</v>
      </c>
      <c r="D33" s="1">
        <v>0.26064999999999999</v>
      </c>
      <c r="E33" s="3">
        <v>0.35477932250982791</v>
      </c>
      <c r="F33" s="4">
        <v>662852.9</v>
      </c>
      <c r="G33" s="1">
        <f t="shared" si="0"/>
        <v>13.049529051754742</v>
      </c>
      <c r="H33" s="1">
        <v>0.75656999999999996</v>
      </c>
      <c r="I33" s="1">
        <f t="shared" si="1"/>
        <v>13.683268592904481</v>
      </c>
      <c r="J33" s="4">
        <f t="shared" si="2"/>
        <v>490080.29161499999</v>
      </c>
      <c r="K33" s="1">
        <f t="shared" si="3"/>
        <v>13.364819790150671</v>
      </c>
      <c r="L33" s="4">
        <v>172775.42300000001</v>
      </c>
      <c r="M33" s="4">
        <v>400633.53399999999</v>
      </c>
      <c r="N33" s="4">
        <v>573408.95700000005</v>
      </c>
      <c r="O33" s="1">
        <v>0.73160999999999998</v>
      </c>
      <c r="P33" s="1">
        <v>0.76912999999999998</v>
      </c>
    </row>
    <row r="34" spans="1:16" x14ac:dyDescent="0.2">
      <c r="A34">
        <v>1991</v>
      </c>
      <c r="B34">
        <v>33</v>
      </c>
      <c r="C34" s="1">
        <v>0.30653999999999998</v>
      </c>
      <c r="D34" s="1">
        <v>0.26274999999999998</v>
      </c>
      <c r="E34" s="3">
        <v>0.37141886142295233</v>
      </c>
      <c r="F34" s="4">
        <v>691253.8</v>
      </c>
      <c r="G34" s="1">
        <f t="shared" si="0"/>
        <v>13.074843467668142</v>
      </c>
      <c r="H34" s="1">
        <v>0.77724000000000004</v>
      </c>
      <c r="I34" s="1">
        <f t="shared" si="1"/>
        <v>13.698268425090406</v>
      </c>
      <c r="J34" s="4">
        <f t="shared" si="2"/>
        <v>509626.86405000003</v>
      </c>
      <c r="K34" s="1">
        <f t="shared" si="3"/>
        <v>13.375512214171332</v>
      </c>
      <c r="L34" s="4">
        <v>181629.66200000001</v>
      </c>
      <c r="M34" s="4">
        <v>410881.21500000003</v>
      </c>
      <c r="N34" s="4">
        <v>592510.87699999998</v>
      </c>
      <c r="O34" s="1">
        <v>0.74909999999999999</v>
      </c>
      <c r="P34" s="1">
        <v>0.7913</v>
      </c>
    </row>
    <row r="35" spans="1:16" x14ac:dyDescent="0.2">
      <c r="A35">
        <v>1992</v>
      </c>
      <c r="B35">
        <v>34</v>
      </c>
      <c r="C35" s="1">
        <v>0.31315000000000004</v>
      </c>
      <c r="D35" s="1">
        <v>0.2656</v>
      </c>
      <c r="E35" s="3">
        <v>0.38578517314317373</v>
      </c>
      <c r="F35" s="4">
        <v>723532.5</v>
      </c>
      <c r="G35" s="1">
        <f t="shared" si="0"/>
        <v>13.10611557142683</v>
      </c>
      <c r="H35" s="1">
        <v>0.79724000000000006</v>
      </c>
      <c r="I35" s="1">
        <f t="shared" si="1"/>
        <v>13.718500260857605</v>
      </c>
      <c r="J35" s="4">
        <f t="shared" si="2"/>
        <v>531362.26799999992</v>
      </c>
      <c r="K35" s="1">
        <f t="shared" si="3"/>
        <v>13.397779625547869</v>
      </c>
      <c r="L35" s="4">
        <v>192172.663</v>
      </c>
      <c r="M35" s="4">
        <v>421508.31699999998</v>
      </c>
      <c r="N35" s="4">
        <v>613680.98</v>
      </c>
      <c r="O35" s="1">
        <v>0.77851000000000004</v>
      </c>
      <c r="P35" s="1">
        <v>0.80688000000000004</v>
      </c>
    </row>
    <row r="36" spans="1:16" x14ac:dyDescent="0.2">
      <c r="A36">
        <v>1993</v>
      </c>
      <c r="B36">
        <v>35</v>
      </c>
      <c r="C36" s="1">
        <v>0.31881999999999999</v>
      </c>
      <c r="D36" s="1">
        <v>0.26857999999999999</v>
      </c>
      <c r="E36" s="3">
        <v>0.39155903856329966</v>
      </c>
      <c r="F36" s="4">
        <v>739115.5</v>
      </c>
      <c r="G36" s="1">
        <f t="shared" si="0"/>
        <v>13.121650441441547</v>
      </c>
      <c r="H36" s="1">
        <v>0.8092100000000001</v>
      </c>
      <c r="I36" s="1">
        <f t="shared" si="1"/>
        <v>13.72490629588542</v>
      </c>
      <c r="J36" s="4">
        <f t="shared" si="2"/>
        <v>540603.85901000001</v>
      </c>
      <c r="K36" s="1">
        <f t="shared" si="3"/>
        <v>13.399283309973528</v>
      </c>
      <c r="L36" s="4">
        <v>198509.114</v>
      </c>
      <c r="M36" s="4">
        <v>424135.31099999999</v>
      </c>
      <c r="N36" s="4">
        <v>622644.42599999998</v>
      </c>
      <c r="O36" s="1">
        <v>0.78879999999999995</v>
      </c>
      <c r="P36" s="1">
        <v>0.81968000000000008</v>
      </c>
    </row>
    <row r="37" spans="1:16" x14ac:dyDescent="0.2">
      <c r="A37">
        <v>1994</v>
      </c>
      <c r="B37">
        <v>36</v>
      </c>
      <c r="C37" s="1">
        <v>0.31529000000000001</v>
      </c>
      <c r="D37" s="1">
        <v>0.26791999999999999</v>
      </c>
      <c r="E37" s="3">
        <v>0.40053993439377678</v>
      </c>
      <c r="F37" s="4">
        <v>751735.8</v>
      </c>
      <c r="G37" s="1">
        <f t="shared" si="0"/>
        <v>13.129600277020197</v>
      </c>
      <c r="H37" s="1">
        <v>0.81672</v>
      </c>
      <c r="I37" s="1">
        <f t="shared" si="1"/>
        <v>13.732599171535352</v>
      </c>
      <c r="J37" s="4">
        <f t="shared" si="2"/>
        <v>550330.7444640001</v>
      </c>
      <c r="K37" s="1">
        <f t="shared" si="3"/>
        <v>13.402702503350495</v>
      </c>
      <c r="L37" s="4">
        <v>201401.30900000001</v>
      </c>
      <c r="M37" s="4">
        <v>437375.37800000003</v>
      </c>
      <c r="N37" s="4">
        <v>638776.68700000003</v>
      </c>
      <c r="O37" s="1">
        <v>0.78727999999999998</v>
      </c>
      <c r="P37" s="1">
        <v>0.83157999999999999</v>
      </c>
    </row>
    <row r="38" spans="1:16" x14ac:dyDescent="0.2">
      <c r="A38">
        <v>1995</v>
      </c>
      <c r="B38">
        <v>37</v>
      </c>
      <c r="C38" s="1">
        <v>0.31242999999999999</v>
      </c>
      <c r="D38" s="1">
        <v>0.26340000000000002</v>
      </c>
      <c r="E38" s="3">
        <v>0.39496910719471501</v>
      </c>
      <c r="F38" s="4">
        <v>777037.4</v>
      </c>
      <c r="G38" s="1">
        <f t="shared" si="0"/>
        <v>13.168274654844806</v>
      </c>
      <c r="H38" s="1">
        <v>0.82421999999999995</v>
      </c>
      <c r="I38" s="1">
        <f t="shared" si="1"/>
        <v>13.756561556456489</v>
      </c>
      <c r="J38" s="4">
        <f t="shared" si="2"/>
        <v>572365.7488399999</v>
      </c>
      <c r="K38" s="1">
        <f t="shared" si="3"/>
        <v>13.423529041263532</v>
      </c>
      <c r="L38" s="4">
        <v>204668.859</v>
      </c>
      <c r="M38" s="4">
        <v>450425.924</v>
      </c>
      <c r="N38" s="4">
        <v>655094.78300000005</v>
      </c>
      <c r="O38" s="1">
        <v>0.77866000000000002</v>
      </c>
      <c r="P38" s="1">
        <v>0.84704999999999997</v>
      </c>
    </row>
    <row r="39" spans="1:16" x14ac:dyDescent="0.2">
      <c r="A39">
        <v>1996</v>
      </c>
      <c r="B39">
        <v>38</v>
      </c>
      <c r="C39" s="1">
        <v>0.31670999999999999</v>
      </c>
      <c r="D39" s="1">
        <v>0.26963000000000004</v>
      </c>
      <c r="E39" s="3">
        <v>0.38171203972296386</v>
      </c>
      <c r="F39" s="4">
        <v>795981.3</v>
      </c>
      <c r="G39" s="1">
        <f t="shared" si="0"/>
        <v>13.205618932365294</v>
      </c>
      <c r="H39" s="1">
        <v>0.83700999999999992</v>
      </c>
      <c r="I39" s="1">
        <f t="shared" si="1"/>
        <v>13.765250233220986</v>
      </c>
      <c r="J39" s="4">
        <f t="shared" si="2"/>
        <v>581360.862081</v>
      </c>
      <c r="K39" s="1">
        <f t="shared" si="3"/>
        <v>13.424985257476303</v>
      </c>
      <c r="L39" s="4">
        <v>214618.45300000001</v>
      </c>
      <c r="M39" s="4">
        <v>463032.29700000002</v>
      </c>
      <c r="N39" s="4">
        <v>677650.75</v>
      </c>
      <c r="O39" s="1">
        <v>0.79290000000000005</v>
      </c>
      <c r="P39" s="1">
        <v>0.85911000000000004</v>
      </c>
    </row>
    <row r="40" spans="1:16" x14ac:dyDescent="0.2">
      <c r="A40">
        <v>1997</v>
      </c>
      <c r="B40">
        <v>39</v>
      </c>
      <c r="C40" s="1">
        <v>0.31675000000000003</v>
      </c>
      <c r="D40" s="1">
        <v>0.26640000000000003</v>
      </c>
      <c r="E40" s="3">
        <v>0.36350051499886588</v>
      </c>
      <c r="F40" s="4">
        <v>817156.8</v>
      </c>
      <c r="G40" s="1">
        <f t="shared" si="0"/>
        <v>13.250085762093295</v>
      </c>
      <c r="H40" s="1">
        <v>0.84346999999999994</v>
      </c>
      <c r="I40" s="1">
        <f t="shared" si="1"/>
        <v>13.78381722081442</v>
      </c>
      <c r="J40" s="4">
        <f t="shared" si="2"/>
        <v>599466.22848000005</v>
      </c>
      <c r="K40" s="1">
        <f t="shared" si="3"/>
        <v>13.445738739994248</v>
      </c>
      <c r="L40" s="4">
        <v>217692.11499999999</v>
      </c>
      <c r="M40" s="4">
        <v>469585.45500000002</v>
      </c>
      <c r="N40" s="4">
        <v>687277.57</v>
      </c>
      <c r="O40" s="1">
        <v>0.79522000000000004</v>
      </c>
      <c r="P40" s="1">
        <v>0.86766999999999994</v>
      </c>
    </row>
    <row r="41" spans="1:16" x14ac:dyDescent="0.2">
      <c r="A41">
        <v>1998</v>
      </c>
      <c r="B41">
        <v>40</v>
      </c>
      <c r="C41" s="1">
        <v>0.31411</v>
      </c>
      <c r="D41" s="1">
        <v>0.26600999999999997</v>
      </c>
      <c r="E41" s="3">
        <v>0.30291863323802953</v>
      </c>
      <c r="F41" s="4">
        <v>845668.7</v>
      </c>
      <c r="G41" s="1">
        <f t="shared" si="0"/>
        <v>13.344964321087053</v>
      </c>
      <c r="H41" s="1">
        <v>0.84511999999999998</v>
      </c>
      <c r="I41" s="1">
        <f t="shared" si="1"/>
        <v>13.816159604198452</v>
      </c>
      <c r="J41" s="4">
        <f t="shared" si="2"/>
        <v>620712.36911299999</v>
      </c>
      <c r="K41" s="1">
        <f t="shared" si="3"/>
        <v>13.479484126054954</v>
      </c>
      <c r="L41" s="4">
        <v>224955.625</v>
      </c>
      <c r="M41" s="4">
        <v>491216.54300000001</v>
      </c>
      <c r="N41" s="4">
        <v>716172.16700000002</v>
      </c>
      <c r="O41" s="1">
        <v>0.79827999999999999</v>
      </c>
      <c r="P41" s="1">
        <v>0.86860999999999999</v>
      </c>
    </row>
    <row r="42" spans="1:16" x14ac:dyDescent="0.2">
      <c r="A42">
        <v>1999</v>
      </c>
      <c r="B42">
        <v>41</v>
      </c>
      <c r="C42" s="1">
        <v>0.30854999999999999</v>
      </c>
      <c r="D42" s="1">
        <v>0.26240999999999998</v>
      </c>
      <c r="E42" s="3">
        <v>0.20069759375699273</v>
      </c>
      <c r="F42" s="4">
        <v>867141.7</v>
      </c>
      <c r="G42" s="1">
        <f t="shared" si="0"/>
        <v>13.472260085790854</v>
      </c>
      <c r="H42" s="1">
        <v>0.84079999999999999</v>
      </c>
      <c r="I42" s="1">
        <f t="shared" si="1"/>
        <v>13.846359138967243</v>
      </c>
      <c r="J42" s="4">
        <f t="shared" si="2"/>
        <v>639595.04650299996</v>
      </c>
      <c r="K42" s="1">
        <f t="shared" si="3"/>
        <v>13.508404458959664</v>
      </c>
      <c r="L42" s="4">
        <v>227542.609</v>
      </c>
      <c r="M42" s="4">
        <v>509923.728</v>
      </c>
      <c r="N42" s="4">
        <v>737466.33799999999</v>
      </c>
      <c r="O42" s="1">
        <v>0.78339000000000003</v>
      </c>
      <c r="P42" s="1">
        <v>0.86951999999999996</v>
      </c>
    </row>
    <row r="43" spans="1:16" x14ac:dyDescent="0.2">
      <c r="A43">
        <v>2000</v>
      </c>
      <c r="B43">
        <v>42</v>
      </c>
      <c r="C43" s="1">
        <v>0.31236000000000003</v>
      </c>
      <c r="D43" s="1">
        <v>0.26627000000000001</v>
      </c>
      <c r="E43" s="3">
        <v>0.14570581009480554</v>
      </c>
      <c r="F43" s="4">
        <v>916987.4</v>
      </c>
      <c r="G43" s="1">
        <f t="shared" si="0"/>
        <v>13.583143200591381</v>
      </c>
      <c r="H43" s="1">
        <v>0.85995999999999995</v>
      </c>
      <c r="I43" s="1">
        <f t="shared" si="1"/>
        <v>13.879718413130375</v>
      </c>
      <c r="J43" s="4">
        <f t="shared" si="2"/>
        <v>672821.16500200005</v>
      </c>
      <c r="K43" s="1">
        <f t="shared" si="3"/>
        <v>13.541933693724651</v>
      </c>
      <c r="L43" s="4">
        <v>244169.348</v>
      </c>
      <c r="M43" s="4">
        <v>537534.65300000005</v>
      </c>
      <c r="N43" s="4">
        <v>781704.00100000005</v>
      </c>
      <c r="O43" s="1">
        <v>0.81093000000000004</v>
      </c>
      <c r="P43" s="1">
        <v>0.88453000000000004</v>
      </c>
    </row>
    <row r="44" spans="1:16" x14ac:dyDescent="0.2">
      <c r="A44">
        <v>2001</v>
      </c>
      <c r="B44">
        <v>43</v>
      </c>
      <c r="C44" s="1">
        <v>0.31719999999999998</v>
      </c>
      <c r="D44" s="1">
        <v>0.26856000000000002</v>
      </c>
      <c r="E44" s="3">
        <v>0.12565820298534078</v>
      </c>
      <c r="F44" s="4">
        <v>964453.5</v>
      </c>
      <c r="G44" s="1">
        <f t="shared" si="0"/>
        <v>13.653658695671815</v>
      </c>
      <c r="H44" s="1">
        <v>0.87646000000000002</v>
      </c>
      <c r="I44" s="1">
        <f t="shared" si="1"/>
        <v>13.911181110371841</v>
      </c>
      <c r="J44" s="4">
        <f t="shared" si="2"/>
        <v>705439.86803999997</v>
      </c>
      <c r="K44" s="1">
        <f t="shared" si="3"/>
        <v>13.573382817848998</v>
      </c>
      <c r="L44" s="4">
        <v>259011.41099999999</v>
      </c>
      <c r="M44" s="4">
        <v>557537.02500000002</v>
      </c>
      <c r="N44" s="4">
        <v>816548.43599999999</v>
      </c>
      <c r="O44" s="1">
        <v>0.83207999999999993</v>
      </c>
      <c r="P44" s="1">
        <v>0.89870000000000005</v>
      </c>
    </row>
    <row r="45" spans="1:16" x14ac:dyDescent="0.2">
      <c r="A45">
        <v>2002</v>
      </c>
      <c r="B45">
        <v>44</v>
      </c>
      <c r="C45" s="1">
        <v>0.31574999999999998</v>
      </c>
      <c r="D45" s="1">
        <v>0.26441999999999999</v>
      </c>
      <c r="E45" s="3">
        <v>9.7155631237596518E-2</v>
      </c>
      <c r="F45" s="4">
        <v>1003377.3</v>
      </c>
      <c r="G45" s="1">
        <f t="shared" si="0"/>
        <v>13.721726536457265</v>
      </c>
      <c r="H45" s="1">
        <v>0.88563000000000003</v>
      </c>
      <c r="I45" s="1">
        <f t="shared" si="1"/>
        <v>13.940338190517574</v>
      </c>
      <c r="J45" s="4">
        <f t="shared" si="2"/>
        <v>738064.27433400007</v>
      </c>
      <c r="K45" s="1">
        <f t="shared" si="3"/>
        <v>13.60299180745101</v>
      </c>
      <c r="L45" s="4">
        <v>265310.174</v>
      </c>
      <c r="M45" s="4">
        <v>574941.95900000003</v>
      </c>
      <c r="N45" s="4">
        <v>840252.13300000003</v>
      </c>
      <c r="O45" s="1">
        <v>0.83147000000000004</v>
      </c>
      <c r="P45" s="1">
        <v>0.91283000000000003</v>
      </c>
    </row>
    <row r="46" spans="1:16" x14ac:dyDescent="0.2">
      <c r="A46">
        <v>2003</v>
      </c>
      <c r="B46">
        <v>45</v>
      </c>
      <c r="C46" s="1">
        <v>0.31912000000000001</v>
      </c>
      <c r="D46" s="1">
        <v>0.26934000000000002</v>
      </c>
      <c r="E46" s="3">
        <v>9.4360261430666961E-2</v>
      </c>
      <c r="F46" s="4">
        <v>1029031.5</v>
      </c>
      <c r="G46" s="1">
        <f t="shared" si="0"/>
        <v>13.749768365161872</v>
      </c>
      <c r="H46" s="1">
        <v>0.90028000000000008</v>
      </c>
      <c r="I46" s="1">
        <f t="shared" si="1"/>
        <v>13.94917807952428</v>
      </c>
      <c r="J46" s="4">
        <f t="shared" si="2"/>
        <v>751872.15578999999</v>
      </c>
      <c r="K46" s="1">
        <f t="shared" si="3"/>
        <v>13.607397030561291</v>
      </c>
      <c r="L46" s="4">
        <v>277161.95199999999</v>
      </c>
      <c r="M46" s="4">
        <v>591359.34100000001</v>
      </c>
      <c r="N46" s="4">
        <v>868521.29200000002</v>
      </c>
      <c r="O46" s="1">
        <v>0.84935000000000005</v>
      </c>
      <c r="P46" s="1">
        <v>0.92581999999999998</v>
      </c>
    </row>
    <row r="47" spans="1:16" x14ac:dyDescent="0.2">
      <c r="A47">
        <v>2004</v>
      </c>
      <c r="B47">
        <v>46</v>
      </c>
      <c r="C47" s="1">
        <v>0.32177</v>
      </c>
      <c r="D47" s="1">
        <v>0.27105000000000001</v>
      </c>
      <c r="E47" s="3">
        <v>9.7586838071469006E-2</v>
      </c>
      <c r="F47" s="4">
        <v>1074974.8</v>
      </c>
      <c r="G47" s="1">
        <f t="shared" si="0"/>
        <v>13.790220939337202</v>
      </c>
      <c r="H47" s="1">
        <v>0.91915999999999998</v>
      </c>
      <c r="I47" s="1">
        <f t="shared" si="1"/>
        <v>13.972102846904072</v>
      </c>
      <c r="J47" s="4">
        <f t="shared" si="2"/>
        <v>783602.88046000001</v>
      </c>
      <c r="K47" s="1">
        <f t="shared" si="3"/>
        <v>13.631896087369128</v>
      </c>
      <c r="L47" s="4">
        <v>291375.11800000002</v>
      </c>
      <c r="M47" s="4">
        <v>614161.91700000002</v>
      </c>
      <c r="N47" s="4">
        <v>905537.03500000003</v>
      </c>
      <c r="O47" s="1">
        <v>0.87438000000000005</v>
      </c>
      <c r="P47" s="1">
        <v>0.94153999999999993</v>
      </c>
    </row>
    <row r="48" spans="1:16" x14ac:dyDescent="0.2">
      <c r="A48">
        <v>2005</v>
      </c>
      <c r="B48">
        <v>47</v>
      </c>
      <c r="C48" s="1">
        <v>0.32475000000000004</v>
      </c>
      <c r="D48" s="1">
        <v>0.27779999999999999</v>
      </c>
      <c r="E48" s="3">
        <v>0.10054334753360819</v>
      </c>
      <c r="F48" s="4">
        <v>1105656.1000000001</v>
      </c>
      <c r="G48" s="1">
        <f t="shared" si="0"/>
        <v>13.815406124853345</v>
      </c>
      <c r="H48" s="1">
        <v>0.93584000000000001</v>
      </c>
      <c r="I48" s="1">
        <f t="shared" si="1"/>
        <v>13.982260229674376</v>
      </c>
      <c r="J48" s="4">
        <f t="shared" si="2"/>
        <v>798504.83542000002</v>
      </c>
      <c r="K48" s="1">
        <f t="shared" si="3"/>
        <v>13.640159347267275</v>
      </c>
      <c r="L48" s="4">
        <v>307150.81099999999</v>
      </c>
      <c r="M48" s="4">
        <v>638661.59100000001</v>
      </c>
      <c r="N48" s="4">
        <v>945812.402</v>
      </c>
      <c r="O48" s="1">
        <v>0.90424000000000004</v>
      </c>
      <c r="P48" s="1">
        <v>0.95155000000000001</v>
      </c>
    </row>
    <row r="49" spans="1:16" x14ac:dyDescent="0.2">
      <c r="A49">
        <v>2006</v>
      </c>
      <c r="B49">
        <v>48</v>
      </c>
      <c r="C49" s="1">
        <v>0.32898000000000005</v>
      </c>
      <c r="D49" s="1">
        <v>0.28094999999999998</v>
      </c>
      <c r="E49" s="3">
        <v>6.8562536189130927E-2</v>
      </c>
      <c r="F49" s="4">
        <v>1155893.5</v>
      </c>
      <c r="G49" s="1">
        <f t="shared" si="0"/>
        <v>13.8918216597536</v>
      </c>
      <c r="H49" s="1">
        <v>0.95565</v>
      </c>
      <c r="I49" s="1">
        <f t="shared" si="1"/>
        <v>14.005747737694261</v>
      </c>
      <c r="J49" s="4">
        <f t="shared" si="2"/>
        <v>831145.22117499996</v>
      </c>
      <c r="K49" s="1">
        <f t="shared" si="3"/>
        <v>13.667628443838147</v>
      </c>
      <c r="L49" s="4">
        <v>324753.73100000003</v>
      </c>
      <c r="M49" s="4">
        <v>662410.39099999995</v>
      </c>
      <c r="N49" s="4">
        <v>987164.12199999997</v>
      </c>
      <c r="O49" s="1">
        <v>0.93945999999999996</v>
      </c>
      <c r="P49" s="1">
        <v>0.96361000000000008</v>
      </c>
    </row>
    <row r="50" spans="1:16" x14ac:dyDescent="0.2">
      <c r="A50">
        <v>2007</v>
      </c>
      <c r="B50">
        <v>49</v>
      </c>
      <c r="C50" s="1">
        <v>0.33173000000000002</v>
      </c>
      <c r="D50" s="1">
        <v>0.28167000000000003</v>
      </c>
      <c r="E50" s="3">
        <v>7.8770371410171805E-2</v>
      </c>
      <c r="F50" s="4">
        <v>1216268.2</v>
      </c>
      <c r="G50" s="1">
        <f t="shared" si="0"/>
        <v>13.932527504988997</v>
      </c>
      <c r="H50" s="1">
        <v>0.97594999999999998</v>
      </c>
      <c r="I50" s="1">
        <f t="shared" si="1"/>
        <v>14.035641799788687</v>
      </c>
      <c r="J50" s="4">
        <f t="shared" si="2"/>
        <v>873681.93610599986</v>
      </c>
      <c r="K50" s="1">
        <f t="shared" si="3"/>
        <v>13.706056181117608</v>
      </c>
      <c r="L50" s="4">
        <v>342584.20799999998</v>
      </c>
      <c r="M50" s="4">
        <v>690145.73899999994</v>
      </c>
      <c r="N50" s="4">
        <v>1032729.947</v>
      </c>
      <c r="O50" s="1">
        <v>0.97831000000000001</v>
      </c>
      <c r="P50" s="1">
        <v>0.97474000000000005</v>
      </c>
    </row>
    <row r="51" spans="1:16" x14ac:dyDescent="0.2">
      <c r="A51">
        <v>2008</v>
      </c>
      <c r="B51">
        <v>50</v>
      </c>
      <c r="C51" s="1">
        <v>0.33731</v>
      </c>
      <c r="D51" s="1">
        <v>0.28687999999999997</v>
      </c>
      <c r="E51" s="3">
        <v>8.9600233256817707E-2</v>
      </c>
      <c r="F51" s="4">
        <v>1254095.8999999999</v>
      </c>
      <c r="G51" s="1">
        <f t="shared" si="0"/>
        <v>13.952325239273208</v>
      </c>
      <c r="H51" s="1">
        <v>1.00326</v>
      </c>
      <c r="I51" s="1">
        <f t="shared" si="1"/>
        <v>14.038670774809528</v>
      </c>
      <c r="J51" s="4">
        <f t="shared" si="2"/>
        <v>894320.86820799985</v>
      </c>
      <c r="K51" s="1">
        <f t="shared" si="3"/>
        <v>13.703399990921445</v>
      </c>
      <c r="L51" s="4">
        <v>359770.29</v>
      </c>
      <c r="M51" s="4">
        <v>706827.80799999996</v>
      </c>
      <c r="N51" s="4">
        <v>1066598.0970000001</v>
      </c>
      <c r="O51" s="1">
        <v>1.0088299999999999</v>
      </c>
      <c r="P51" s="1">
        <v>1.0004200000000001</v>
      </c>
    </row>
    <row r="52" spans="1:16" x14ac:dyDescent="0.2">
      <c r="A52">
        <v>2009</v>
      </c>
      <c r="B52">
        <v>51</v>
      </c>
      <c r="C52" s="1">
        <v>0.34029999999999999</v>
      </c>
      <c r="D52" s="1">
        <v>0.28504000000000002</v>
      </c>
      <c r="E52" s="3">
        <v>4.974156375209654E-2</v>
      </c>
      <c r="F52" s="4">
        <v>1255298.209</v>
      </c>
      <c r="G52" s="1">
        <f t="shared" si="0"/>
        <v>13.993142155302607</v>
      </c>
      <c r="H52" s="1">
        <v>0.98829999999999996</v>
      </c>
      <c r="I52" s="1">
        <f t="shared" si="1"/>
        <v>14.054652702654703</v>
      </c>
      <c r="J52" s="4">
        <f t="shared" si="2"/>
        <v>897488.00750664005</v>
      </c>
      <c r="K52" s="1">
        <f t="shared" si="3"/>
        <v>13.722580356318787</v>
      </c>
      <c r="L52" s="4">
        <v>357815.49400000001</v>
      </c>
      <c r="M52" s="4">
        <v>693647.70799999998</v>
      </c>
      <c r="N52" s="4">
        <v>1051463.202</v>
      </c>
      <c r="O52" s="1">
        <v>0.99497000000000002</v>
      </c>
      <c r="P52" s="1">
        <v>0.98489000000000004</v>
      </c>
    </row>
    <row r="53" spans="1:16" x14ac:dyDescent="0.2">
      <c r="A53">
        <v>2010</v>
      </c>
      <c r="B53">
        <v>52</v>
      </c>
      <c r="C53" s="1">
        <v>0.33773999999999998</v>
      </c>
      <c r="D53" s="1">
        <v>0.28441</v>
      </c>
      <c r="E53" s="3">
        <v>0</v>
      </c>
      <c r="F53" s="4">
        <v>1285390.2620000001</v>
      </c>
      <c r="G53" s="1">
        <f t="shared" si="0"/>
        <v>14.066572936038751</v>
      </c>
      <c r="H53" s="1">
        <v>1</v>
      </c>
      <c r="I53" s="1">
        <f t="shared" si="1"/>
        <v>14.066572936038751</v>
      </c>
      <c r="J53" s="4">
        <f t="shared" si="2"/>
        <v>919812.41758458002</v>
      </c>
      <c r="K53" s="1">
        <f t="shared" si="3"/>
        <v>13.731925034306226</v>
      </c>
      <c r="L53" s="4">
        <v>365572.63299999997</v>
      </c>
      <c r="M53" s="4">
        <v>716821.06700000004</v>
      </c>
      <c r="N53" s="4">
        <v>1082393.7</v>
      </c>
      <c r="O53" s="1">
        <v>1</v>
      </c>
      <c r="P53" s="1">
        <v>1</v>
      </c>
    </row>
    <row r="54" spans="1:16" x14ac:dyDescent="0.2">
      <c r="A54">
        <v>2011</v>
      </c>
      <c r="B54">
        <v>53</v>
      </c>
      <c r="C54" s="1">
        <v>0.33380000000000004</v>
      </c>
      <c r="D54" s="1">
        <v>0.28173999999999999</v>
      </c>
      <c r="E54" s="3">
        <v>-4.5301572912326782E-2</v>
      </c>
      <c r="F54" s="4">
        <v>1311387.8959999999</v>
      </c>
      <c r="G54" s="1">
        <f t="shared" si="0"/>
        <v>14.131898169850674</v>
      </c>
      <c r="H54" s="1">
        <v>1.01817</v>
      </c>
      <c r="I54" s="1">
        <f t="shared" si="1"/>
        <v>14.068589698645887</v>
      </c>
      <c r="J54" s="4">
        <f t="shared" si="2"/>
        <v>941917.47018096002</v>
      </c>
      <c r="K54" s="1">
        <f t="shared" si="3"/>
        <v>13.735282248799809</v>
      </c>
      <c r="L54" s="4">
        <v>369472.05300000001</v>
      </c>
      <c r="M54" s="4">
        <v>737408.94700000004</v>
      </c>
      <c r="N54" s="4">
        <v>1106881</v>
      </c>
      <c r="O54" s="1">
        <v>1.01336</v>
      </c>
      <c r="P54" s="1">
        <v>1.0206</v>
      </c>
    </row>
    <row r="55" spans="1:16" x14ac:dyDescent="0.2">
      <c r="A55">
        <v>2012</v>
      </c>
      <c r="B55">
        <v>54</v>
      </c>
      <c r="C55" s="1">
        <v>0.33860000000000001</v>
      </c>
      <c r="D55" s="1">
        <v>0.28758</v>
      </c>
      <c r="E55" s="3">
        <v>-0.18862242731800788</v>
      </c>
      <c r="F55" s="4">
        <v>1318313.9369999999</v>
      </c>
      <c r="G55" s="1">
        <f t="shared" si="0"/>
        <v>14.280486584956908</v>
      </c>
      <c r="H55" s="1">
        <v>1.0325</v>
      </c>
      <c r="I55" s="1">
        <f t="shared" si="1"/>
        <v>14.059881111785851</v>
      </c>
      <c r="J55" s="4">
        <f t="shared" si="2"/>
        <v>939193.21499754</v>
      </c>
      <c r="K55" s="1">
        <f t="shared" si="3"/>
        <v>13.712940595296665</v>
      </c>
      <c r="L55" s="4">
        <v>379116.772</v>
      </c>
      <c r="M55" s="4">
        <v>740529.228</v>
      </c>
      <c r="N55" s="4">
        <v>1119646</v>
      </c>
      <c r="O55" s="1">
        <v>1.0167900000000001</v>
      </c>
      <c r="P55" s="1">
        <v>1.04064</v>
      </c>
    </row>
    <row r="56" spans="1:16" x14ac:dyDescent="0.2">
      <c r="A56">
        <v>2013</v>
      </c>
      <c r="B56">
        <v>55</v>
      </c>
      <c r="C56" s="1">
        <v>0.34168999999999999</v>
      </c>
      <c r="D56" s="1">
        <v>0.29265999999999998</v>
      </c>
      <c r="E56" s="3">
        <v>-0.3316142037179155</v>
      </c>
      <c r="F56" s="4">
        <v>1321925.463</v>
      </c>
      <c r="G56" s="1">
        <f t="shared" si="0"/>
        <v>14.426214119525186</v>
      </c>
      <c r="H56" s="1">
        <v>1.0391900000000001</v>
      </c>
      <c r="I56" s="1">
        <f t="shared" si="1"/>
        <v>14.056158352266076</v>
      </c>
      <c r="J56" s="4">
        <f t="shared" si="2"/>
        <v>935050.75699842011</v>
      </c>
      <c r="K56" s="1">
        <f t="shared" si="3"/>
        <v>13.699518310273923</v>
      </c>
      <c r="L56" s="4">
        <v>386869.24800000002</v>
      </c>
      <c r="M56" s="4">
        <v>745361.75199999998</v>
      </c>
      <c r="N56" s="4">
        <v>1132231</v>
      </c>
      <c r="O56" s="1">
        <v>1.0184</v>
      </c>
      <c r="P56" s="1">
        <v>1.0500499999999999</v>
      </c>
    </row>
    <row r="57" spans="1:16" x14ac:dyDescent="0.2">
      <c r="A57">
        <v>2014</v>
      </c>
      <c r="B57">
        <v>56</v>
      </c>
      <c r="C57" s="1">
        <v>0.33909</v>
      </c>
      <c r="D57" s="1">
        <v>0.28919</v>
      </c>
      <c r="E57" s="3">
        <v>-0.37640932305689673</v>
      </c>
      <c r="F57" s="4">
        <v>1338491.1270000001</v>
      </c>
      <c r="G57" s="1">
        <f t="shared" si="0"/>
        <v>14.483462835915086</v>
      </c>
      <c r="H57" s="1">
        <v>1.0403799999999999</v>
      </c>
      <c r="I57" s="1">
        <f t="shared" si="1"/>
        <v>14.067467481826226</v>
      </c>
      <c r="J57" s="4">
        <f t="shared" si="2"/>
        <v>951412.87798286998</v>
      </c>
      <c r="K57" s="1">
        <f t="shared" si="3"/>
        <v>13.718581291643886</v>
      </c>
      <c r="L57" s="4">
        <v>387074.75900000002</v>
      </c>
      <c r="M57" s="4">
        <v>754421.24100000004</v>
      </c>
      <c r="N57" s="4">
        <v>1141496</v>
      </c>
      <c r="O57" s="1">
        <v>1.0252699999999999</v>
      </c>
      <c r="P57" s="1">
        <v>1.0482500000000001</v>
      </c>
    </row>
    <row r="58" spans="1:16" x14ac:dyDescent="0.2">
      <c r="A58">
        <v>2015</v>
      </c>
      <c r="B58">
        <v>57</v>
      </c>
      <c r="C58" s="1">
        <v>0.33939000000000002</v>
      </c>
      <c r="D58" s="1">
        <v>0.29106000000000004</v>
      </c>
      <c r="E58" s="3">
        <v>-0.38594142329971903</v>
      </c>
      <c r="F58" s="4">
        <v>1353320.324</v>
      </c>
      <c r="G58" s="1">
        <f t="shared" si="0"/>
        <v>14.50401305335544</v>
      </c>
      <c r="H58" s="1">
        <v>1.0431600000000001</v>
      </c>
      <c r="I58" s="1">
        <f t="shared" si="1"/>
        <v>14.075817062158885</v>
      </c>
      <c r="J58" s="4">
        <f t="shared" si="2"/>
        <v>959422.91049655993</v>
      </c>
      <c r="K58" s="1">
        <f t="shared" si="3"/>
        <v>13.72728000068332</v>
      </c>
      <c r="L58" s="4">
        <v>393891.94500000001</v>
      </c>
      <c r="M58" s="4">
        <v>766680.05500000005</v>
      </c>
      <c r="N58" s="4">
        <v>1160572</v>
      </c>
      <c r="O58" s="1">
        <v>1.0340499999999999</v>
      </c>
      <c r="P58" s="1">
        <v>1.04792</v>
      </c>
    </row>
    <row r="59" spans="1:16" x14ac:dyDescent="0.2">
      <c r="A59">
        <v>2016</v>
      </c>
      <c r="B59">
        <v>58</v>
      </c>
      <c r="C59" s="1">
        <v>0.33682000000000001</v>
      </c>
      <c r="D59" s="1">
        <v>0.29013</v>
      </c>
      <c r="E59" s="3">
        <v>-0.38914581727811665</v>
      </c>
      <c r="F59" s="4">
        <v>1376974.63</v>
      </c>
      <c r="G59" s="1">
        <f t="shared" si="0"/>
        <v>14.524545170708798</v>
      </c>
      <c r="H59" s="1">
        <v>1.04264</v>
      </c>
      <c r="I59" s="1">
        <f t="shared" si="1"/>
        <v>14.093643395190353</v>
      </c>
      <c r="J59" s="4">
        <f t="shared" si="2"/>
        <v>977472.98059809988</v>
      </c>
      <c r="K59" s="1">
        <f t="shared" si="3"/>
        <v>13.747532702379008</v>
      </c>
      <c r="L59" s="4">
        <v>399501.98300000001</v>
      </c>
      <c r="M59" s="4">
        <v>786590.01699999999</v>
      </c>
      <c r="N59" s="4">
        <v>1186092</v>
      </c>
      <c r="O59" s="1">
        <v>1.03579</v>
      </c>
      <c r="P59" s="1">
        <v>1.04623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6" sqref="C16:C17"/>
    </sheetView>
  </sheetViews>
  <sheetFormatPr baseColWidth="10" defaultRowHeight="12.75" x14ac:dyDescent="0.2"/>
  <cols>
    <col min="1" max="1" width="16" customWidth="1"/>
    <col min="2" max="2" width="63" customWidth="1"/>
  </cols>
  <sheetData>
    <row r="1" spans="1:3" x14ac:dyDescent="0.2">
      <c r="A1" t="s">
        <v>20</v>
      </c>
      <c r="B1" t="s">
        <v>21</v>
      </c>
      <c r="C1" t="s">
        <v>22</v>
      </c>
    </row>
    <row r="2" spans="1:3" x14ac:dyDescent="0.2">
      <c r="A2" t="s">
        <v>0</v>
      </c>
      <c r="B2" t="s">
        <v>16</v>
      </c>
      <c r="C2" t="s">
        <v>23</v>
      </c>
    </row>
    <row r="3" spans="1:3" x14ac:dyDescent="0.2">
      <c r="A3" t="s">
        <v>1</v>
      </c>
      <c r="B3" t="s">
        <v>17</v>
      </c>
      <c r="C3" t="s">
        <v>23</v>
      </c>
    </row>
    <row r="4" spans="1:3" x14ac:dyDescent="0.2">
      <c r="A4" t="s">
        <v>2</v>
      </c>
      <c r="B4" t="s">
        <v>18</v>
      </c>
      <c r="C4" t="s">
        <v>24</v>
      </c>
    </row>
    <row r="5" spans="1:3" x14ac:dyDescent="0.2">
      <c r="A5" t="s">
        <v>3</v>
      </c>
      <c r="B5" t="s">
        <v>19</v>
      </c>
      <c r="C5" t="s">
        <v>24</v>
      </c>
    </row>
    <row r="6" spans="1:3" x14ac:dyDescent="0.2">
      <c r="A6" t="s">
        <v>4</v>
      </c>
      <c r="B6" t="s">
        <v>26</v>
      </c>
      <c r="C6" t="s">
        <v>25</v>
      </c>
    </row>
    <row r="7" spans="1:3" x14ac:dyDescent="0.2">
      <c r="A7" t="s">
        <v>5</v>
      </c>
      <c r="B7" t="s">
        <v>27</v>
      </c>
      <c r="C7" t="s">
        <v>28</v>
      </c>
    </row>
    <row r="8" spans="1:3" x14ac:dyDescent="0.2">
      <c r="A8" t="s">
        <v>8</v>
      </c>
      <c r="B8" t="s">
        <v>29</v>
      </c>
      <c r="C8" t="s">
        <v>30</v>
      </c>
    </row>
    <row r="9" spans="1:3" x14ac:dyDescent="0.2">
      <c r="A9" t="s">
        <v>6</v>
      </c>
      <c r="B9" t="s">
        <v>31</v>
      </c>
      <c r="C9" t="s">
        <v>25</v>
      </c>
    </row>
    <row r="10" spans="1:3" x14ac:dyDescent="0.2">
      <c r="A10" t="s">
        <v>7</v>
      </c>
      <c r="B10" t="s">
        <v>32</v>
      </c>
      <c r="C10" t="s">
        <v>30</v>
      </c>
    </row>
    <row r="11" spans="1:3" x14ac:dyDescent="0.2">
      <c r="A11" t="s">
        <v>9</v>
      </c>
      <c r="B11" t="s">
        <v>33</v>
      </c>
      <c r="C11" t="s">
        <v>28</v>
      </c>
    </row>
    <row r="12" spans="1:3" x14ac:dyDescent="0.2">
      <c r="A12" t="s">
        <v>15</v>
      </c>
      <c r="B12" t="s">
        <v>34</v>
      </c>
      <c r="C12" t="s">
        <v>30</v>
      </c>
    </row>
    <row r="13" spans="1:3" x14ac:dyDescent="0.2">
      <c r="A13" t="s">
        <v>10</v>
      </c>
      <c r="B13" t="s">
        <v>35</v>
      </c>
      <c r="C13" t="s">
        <v>28</v>
      </c>
    </row>
    <row r="14" spans="1:3" x14ac:dyDescent="0.2">
      <c r="A14" t="s">
        <v>11</v>
      </c>
      <c r="B14" t="s">
        <v>36</v>
      </c>
      <c r="C14" t="s">
        <v>28</v>
      </c>
    </row>
    <row r="15" spans="1:3" x14ac:dyDescent="0.2">
      <c r="A15" t="s">
        <v>14</v>
      </c>
      <c r="B15" t="s">
        <v>37</v>
      </c>
      <c r="C15" t="s">
        <v>28</v>
      </c>
    </row>
    <row r="16" spans="1:3" x14ac:dyDescent="0.2">
      <c r="A16" t="s">
        <v>12</v>
      </c>
      <c r="B16" t="s">
        <v>38</v>
      </c>
      <c r="C16" t="s">
        <v>25</v>
      </c>
    </row>
    <row r="17" spans="1:3" x14ac:dyDescent="0.2">
      <c r="A17" t="s">
        <v>13</v>
      </c>
      <c r="B17" t="s">
        <v>39</v>
      </c>
      <c r="C1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2.75" x14ac:dyDescent="0.2"/>
  <sheetData>
    <row r="1" spans="1:1" x14ac:dyDescent="0.2">
      <c r="A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data_depcontr</vt:lpstr>
      <vt:lpstr>dicovar</vt:lpstr>
      <vt:lpstr>Feuil1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Zardoz</dc:creator>
  <cp:lastModifiedBy>Zardoz</cp:lastModifiedBy>
  <dcterms:created xsi:type="dcterms:W3CDTF">2019-06-19T08:32:54Z</dcterms:created>
  <dcterms:modified xsi:type="dcterms:W3CDTF">2019-06-19T13:20:49Z</dcterms:modified>
</cp:coreProperties>
</file>